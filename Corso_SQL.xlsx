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comments1.xml" ContentType="application/vnd.openxmlformats-officedocument.spreadsheetml.comment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\Desktop\Corso_SQL\"/>
    </mc:Choice>
  </mc:AlternateContent>
  <xr:revisionPtr revIDLastSave="0" documentId="13_ncr:1_{247554A0-7861-4368-AB64-E0E822796A80}" xr6:coauthVersionLast="47" xr6:coauthVersionMax="47" xr10:uidLastSave="{00000000-0000-0000-0000-000000000000}"/>
  <bookViews>
    <workbookView xWindow="-98" yWindow="-98" windowWidth="21795" windowHeight="12975" firstSheet="6" activeTab="6" xr2:uid="{19E62BDE-2585-48E2-B5EA-E91B804270F9}"/>
  </bookViews>
  <sheets>
    <sheet name="Articoli_Vendita" sheetId="1" r:id="rId1"/>
    <sheet name="Transazioni_Banca" sheetId="2" r:id="rId2"/>
    <sheet name="Venditori_Premi" sheetId="3" r:id="rId3"/>
    <sheet name="Confronto_Prezzi" sheetId="4" r:id="rId4"/>
    <sheet name="Vendite_Area" sheetId="5" r:id="rId5"/>
    <sheet name="Vendite_Area_2" sheetId="6" r:id="rId6"/>
    <sheet name="Codici_Articoli" sheetId="7" r:id="rId7"/>
    <sheet name="Anagrafica_Dipendenti" sheetId="8" r:id="rId8"/>
    <sheet name="Vendite_Prodotti" sheetId="9" r:id="rId9"/>
    <sheet name="Vendite_Clienti" sheetId="10" r:id="rId10"/>
    <sheet name="Anagrafica_Clienti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2" i="10" l="1"/>
  <c r="F13" i="9"/>
  <c r="G13" i="8"/>
  <c r="D11" i="6"/>
  <c r="D11" i="5"/>
  <c r="D14" i="7"/>
  <c r="C14" i="7"/>
  <c r="E14" i="7" s="1"/>
  <c r="B14" i="7"/>
  <c r="E13" i="7"/>
  <c r="D13" i="7"/>
  <c r="C13" i="7"/>
  <c r="B13" i="7"/>
  <c r="E12" i="7"/>
  <c r="D12" i="7"/>
  <c r="C12" i="7"/>
  <c r="B12" i="7"/>
  <c r="D11" i="7"/>
  <c r="C11" i="7"/>
  <c r="B11" i="7"/>
  <c r="E11" i="7" s="1"/>
  <c r="E10" i="7"/>
  <c r="D10" i="7"/>
  <c r="C10" i="7"/>
  <c r="B10" i="7"/>
  <c r="E9" i="7"/>
  <c r="D9" i="7"/>
  <c r="C9" i="7"/>
  <c r="B9" i="7"/>
  <c r="E8" i="7"/>
  <c r="D8" i="7"/>
  <c r="C8" i="7"/>
  <c r="B8" i="7"/>
  <c r="D7" i="7"/>
  <c r="C7" i="7"/>
  <c r="B7" i="7"/>
  <c r="E7" i="7" s="1"/>
  <c r="E6" i="7"/>
  <c r="D6" i="7"/>
  <c r="C6" i="7"/>
  <c r="B6" i="7"/>
  <c r="E5" i="7"/>
  <c r="D5" i="7"/>
  <c r="C5" i="7"/>
  <c r="B5" i="7"/>
  <c r="D4" i="7"/>
  <c r="C4" i="7"/>
  <c r="B4" i="7"/>
  <c r="E4" i="7" s="1"/>
  <c r="D3" i="7"/>
  <c r="C3" i="7"/>
  <c r="B3" i="7"/>
  <c r="E3" i="7" s="1"/>
  <c r="E2" i="7"/>
  <c r="D2" i="7"/>
  <c r="C2" i="7"/>
  <c r="B2" i="7"/>
  <c r="D8" i="4"/>
  <c r="D7" i="4"/>
  <c r="D6" i="4"/>
  <c r="D5" i="4"/>
  <c r="D4" i="4"/>
  <c r="D3" i="4"/>
  <c r="D2" i="4"/>
  <c r="F7" i="3"/>
  <c r="F6" i="3"/>
  <c r="F5" i="3"/>
  <c r="F4" i="3"/>
  <c r="F3" i="3"/>
  <c r="F2" i="3"/>
  <c r="E2" i="2"/>
  <c r="D2" i="1"/>
  <c r="D3" i="1"/>
  <c r="D4" i="1"/>
  <c r="D5" i="1"/>
  <c r="F5" i="1"/>
  <c r="D6" i="1"/>
  <c r="F6" i="1"/>
  <c r="D7" i="1"/>
  <c r="F7" i="1"/>
  <c r="H7" i="1"/>
  <c r="I7" i="1"/>
  <c r="D8" i="1"/>
  <c r="F8" i="1"/>
  <c r="H8" i="1"/>
  <c r="I8" i="1"/>
  <c r="D9" i="1"/>
  <c r="D10" i="1"/>
  <c r="F10" i="1" s="1"/>
  <c r="E3" i="2" l="1"/>
  <c r="F8" i="3"/>
  <c r="H5" i="1"/>
  <c r="H6" i="1"/>
  <c r="I6" i="1" s="1"/>
  <c r="F9" i="1"/>
  <c r="F3" i="1"/>
  <c r="F2" i="1"/>
  <c r="H2" i="1" s="1"/>
  <c r="F4" i="1"/>
  <c r="I5" i="1"/>
  <c r="H10" i="1"/>
  <c r="I10" i="1"/>
  <c r="E10" i="2" l="1"/>
  <c r="E4" i="2"/>
  <c r="E5" i="2" s="1"/>
  <c r="E6" i="2" s="1"/>
  <c r="E7" i="2" s="1"/>
  <c r="E8" i="2" s="1"/>
  <c r="E9" i="2" s="1"/>
  <c r="H9" i="1"/>
  <c r="I9" i="1"/>
  <c r="H3" i="1"/>
  <c r="H4" i="1"/>
  <c r="I2" i="1"/>
  <c r="I4" i="1" l="1"/>
  <c r="I3" i="1"/>
  <c r="I1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cristian pico</author>
  </authors>
  <commentList>
    <comment ref="B1" authorId="0" shapeId="0" xr:uid="{E85D5980-75AA-4766-A0D2-0B012939C81C}">
      <text>
        <r>
          <rPr>
            <b/>
            <sz val="9"/>
            <color indexed="81"/>
            <rFont val="Tahoma"/>
            <family val="2"/>
          </rPr>
          <t>cristian pico:</t>
        </r>
        <r>
          <rPr>
            <sz val="9"/>
            <color indexed="81"/>
            <rFont val="Tahoma"/>
            <family val="2"/>
          </rPr>
          <t xml:space="preserve">
=LEFT('cellar';number of characters)
</t>
        </r>
      </text>
    </comment>
    <comment ref="C1" authorId="0" shapeId="0" xr:uid="{39763599-E2A2-466D-B1A9-A822A5E6A710}">
      <text>
        <r>
          <rPr>
            <b/>
            <sz val="9"/>
            <color indexed="81"/>
            <rFont val="Tahoma"/>
            <family val="2"/>
          </rPr>
          <t>cristian pico:</t>
        </r>
        <r>
          <rPr>
            <sz val="9"/>
            <color indexed="81"/>
            <rFont val="Tahoma"/>
            <family val="2"/>
          </rPr>
          <t xml:space="preserve">
=RIGHT('cellar';number of characters)</t>
        </r>
      </text>
    </comment>
    <comment ref="D1" authorId="0" shapeId="0" xr:uid="{A64846A3-F5A4-4557-9A56-76EB30E18621}">
      <text>
        <r>
          <rPr>
            <b/>
            <sz val="9"/>
            <color indexed="81"/>
            <rFont val="Tahoma"/>
            <family val="2"/>
          </rPr>
          <t>cristian pico:</t>
        </r>
        <r>
          <rPr>
            <sz val="9"/>
            <color indexed="81"/>
            <rFont val="Tahoma"/>
            <family val="2"/>
          </rPr>
          <t xml:space="preserve">
=MID('cellar';Start-num;Num_char)</t>
        </r>
      </text>
    </comment>
    <comment ref="E1" authorId="0" shapeId="0" xr:uid="{CFC4DF20-1BBD-4995-A074-27B4BD4D3666}">
      <text>
        <r>
          <rPr>
            <b/>
            <sz val="9"/>
            <color indexed="81"/>
            <rFont val="Tahoma"/>
            <family val="2"/>
          </rPr>
          <t>cristian pico:</t>
        </r>
        <r>
          <rPr>
            <sz val="9"/>
            <color indexed="81"/>
            <rFont val="Tahoma"/>
            <family val="2"/>
          </rPr>
          <t xml:space="preserve">
=CONC('text or cellar';'text2 or cellar 2')
</t>
        </r>
      </text>
    </comment>
  </commentList>
</comments>
</file>

<file path=xl/sharedStrings.xml><?xml version="1.0" encoding="utf-8"?>
<sst xmlns="http://schemas.openxmlformats.org/spreadsheetml/2006/main" count="346" uniqueCount="210">
  <si>
    <t>HARD DISK</t>
  </si>
  <si>
    <t>CAVI USB</t>
  </si>
  <si>
    <t>CAVI HDMI</t>
  </si>
  <si>
    <t>MONITOR</t>
  </si>
  <si>
    <t>TASTIERE</t>
  </si>
  <si>
    <t>MODEM</t>
  </si>
  <si>
    <t>MOUSE</t>
  </si>
  <si>
    <t>STAMPANTI</t>
  </si>
  <si>
    <t>COMPUTER</t>
  </si>
  <si>
    <t>TOTALE CON IVA</t>
  </si>
  <si>
    <t>SCONTO</t>
  </si>
  <si>
    <t>PREZZO UNITARIO</t>
  </si>
  <si>
    <t>QUANTITA'</t>
  </si>
  <si>
    <t>ARTICOLO</t>
  </si>
  <si>
    <t>DESCRIPTION</t>
  </si>
  <si>
    <t>DATE</t>
  </si>
  <si>
    <t>INCOME</t>
  </si>
  <si>
    <t>OUTCOME</t>
  </si>
  <si>
    <t>BALANCE</t>
  </si>
  <si>
    <t>APERTURA CONTO</t>
  </si>
  <si>
    <t>VERSAMENTO</t>
  </si>
  <si>
    <t>ASSEGNO</t>
  </si>
  <si>
    <t>BONIFICO</t>
  </si>
  <si>
    <t>VENDITORE</t>
  </si>
  <si>
    <t>INCASSO</t>
  </si>
  <si>
    <t>BUDGET</t>
  </si>
  <si>
    <t>STIPENDIO BASE</t>
  </si>
  <si>
    <t>PREMIO</t>
  </si>
  <si>
    <t>STIPENDIO</t>
  </si>
  <si>
    <t>BIANCHI</t>
  </si>
  <si>
    <t>VERDI</t>
  </si>
  <si>
    <t>GIALLI</t>
  </si>
  <si>
    <t>NERI</t>
  </si>
  <si>
    <t>ROSSI</t>
  </si>
  <si>
    <t>BLU</t>
  </si>
  <si>
    <t>PREZZO 2025</t>
  </si>
  <si>
    <t>PREZZO 2026</t>
  </si>
  <si>
    <t>CONFRONTO</t>
  </si>
  <si>
    <t>FRIGORIFERO</t>
  </si>
  <si>
    <t>MACCHINA CAFFE'</t>
  </si>
  <si>
    <t>FORNO</t>
  </si>
  <si>
    <t>MICROONDE</t>
  </si>
  <si>
    <t>LAVATRICE</t>
  </si>
  <si>
    <t>FRIGGITRICE</t>
  </si>
  <si>
    <t>TOSTAPANE</t>
  </si>
  <si>
    <t>AREA</t>
  </si>
  <si>
    <t>N.ORDINI</t>
  </si>
  <si>
    <t>VENDITE</t>
  </si>
  <si>
    <t>BRUNO</t>
  </si>
  <si>
    <t>EST</t>
  </si>
  <si>
    <t>STEFANO</t>
  </si>
  <si>
    <t>PAOLA</t>
  </si>
  <si>
    <t>OVEST</t>
  </si>
  <si>
    <t>MANUEL</t>
  </si>
  <si>
    <t>NORD</t>
  </si>
  <si>
    <t>DAVIDE</t>
  </si>
  <si>
    <t>WALTER</t>
  </si>
  <si>
    <t>SUD</t>
  </si>
  <si>
    <t>FRANCO</t>
  </si>
  <si>
    <t>ANTONIO</t>
  </si>
  <si>
    <t>TERESA</t>
  </si>
  <si>
    <t>ITEMS</t>
  </si>
  <si>
    <t>LEFT FUNCTION</t>
  </si>
  <si>
    <t>RIGHT FUNCTION</t>
  </si>
  <si>
    <t>EXTRACT FUNCTION</t>
  </si>
  <si>
    <t>CONCATENATES</t>
  </si>
  <si>
    <t>PLL-03 PALLE DA BASEBALL</t>
  </si>
  <si>
    <t>PLL-04 PALLONI DA CALCIO</t>
  </si>
  <si>
    <t>ATT-03 STEP</t>
  </si>
  <si>
    <t>PLL-05 PALLE DA TENNIS</t>
  </si>
  <si>
    <t>ATT-02 CYCLETTES</t>
  </si>
  <si>
    <t>PLL-01 PALLE DA GOLF</t>
  </si>
  <si>
    <t>PLL-02 PALLONI DA BASKET</t>
  </si>
  <si>
    <t>NOME</t>
  </si>
  <si>
    <t>COGNOME</t>
  </si>
  <si>
    <t>INDIRIZZO</t>
  </si>
  <si>
    <t>CITTA'</t>
  </si>
  <si>
    <t>CAP</t>
  </si>
  <si>
    <t>DATA ASSUNZIONE</t>
  </si>
  <si>
    <t>FILIPPO</t>
  </si>
  <si>
    <t>VIA DEL CORSO 79</t>
  </si>
  <si>
    <t>FOGGIA</t>
  </si>
  <si>
    <t>60123</t>
  </si>
  <si>
    <t>LAURA</t>
  </si>
  <si>
    <t>PIAZZA UNGHERIA 2</t>
  </si>
  <si>
    <t>MILANO</t>
  </si>
  <si>
    <t>20120</t>
  </si>
  <si>
    <t>MARIA</t>
  </si>
  <si>
    <t>PIAZZA DEL DUOMO 15</t>
  </si>
  <si>
    <t>20121</t>
  </si>
  <si>
    <t>ROSA</t>
  </si>
  <si>
    <t>VICOLO DEL PORTO 3</t>
  </si>
  <si>
    <t>PALERMO</t>
  </si>
  <si>
    <t>90100</t>
  </si>
  <si>
    <t>MICHELE</t>
  </si>
  <si>
    <t>VIALE TRASTEVERE 22</t>
  </si>
  <si>
    <t>ROMA</t>
  </si>
  <si>
    <t>00100</t>
  </si>
  <si>
    <t>GIANNI</t>
  </si>
  <si>
    <t>VICOLO DEL MORO 7</t>
  </si>
  <si>
    <t>00152</t>
  </si>
  <si>
    <t>UGO</t>
  </si>
  <si>
    <t>VIALE PARIOLI 55</t>
  </si>
  <si>
    <t>00186</t>
  </si>
  <si>
    <t>LETIZIA</t>
  </si>
  <si>
    <t>RUBINO</t>
  </si>
  <si>
    <t>VIA MARADONA 54</t>
  </si>
  <si>
    <t>NAPOLI</t>
  </si>
  <si>
    <t>80054</t>
  </si>
  <si>
    <t>CRISTIAN</t>
  </si>
  <si>
    <t>AUDITORE</t>
  </si>
  <si>
    <t>VIA ROMA 4</t>
  </si>
  <si>
    <t>TORCHIARA</t>
  </si>
  <si>
    <t>84076</t>
  </si>
  <si>
    <t>GIOVANNI</t>
  </si>
  <si>
    <t>LOPEZ</t>
  </si>
  <si>
    <t>PIAZZA LIBERTA'</t>
  </si>
  <si>
    <t>GENOVA</t>
  </si>
  <si>
    <t>56437</t>
  </si>
  <si>
    <t>DORIMO</t>
  </si>
  <si>
    <t>CORSO GARIBALDI</t>
  </si>
  <si>
    <t>ZONA</t>
  </si>
  <si>
    <t>PRODOTTO</t>
  </si>
  <si>
    <t>QUANTITÀ</t>
  </si>
  <si>
    <t>DATA</t>
  </si>
  <si>
    <t>IMPORTO(€)</t>
  </si>
  <si>
    <t>Ferraro</t>
  </si>
  <si>
    <t>Sud</t>
  </si>
  <si>
    <t>Cuffie BT</t>
  </si>
  <si>
    <t>De Luca</t>
  </si>
  <si>
    <t>Centro</t>
  </si>
  <si>
    <t>Hard Disk 1TB</t>
  </si>
  <si>
    <t>Rossi</t>
  </si>
  <si>
    <t>Nord</t>
  </si>
  <si>
    <t>Laptop</t>
  </si>
  <si>
    <t>Verdi</t>
  </si>
  <si>
    <t>Monitor 27"</t>
  </si>
  <si>
    <t>Moretti</t>
  </si>
  <si>
    <t>Mouse Wireless</t>
  </si>
  <si>
    <t>Conti</t>
  </si>
  <si>
    <t>Smartphone</t>
  </si>
  <si>
    <t>Bianchi</t>
  </si>
  <si>
    <t>Stampante</t>
  </si>
  <si>
    <t>Galli</t>
  </si>
  <si>
    <t>Tablet</t>
  </si>
  <si>
    <t>Neri</t>
  </si>
  <si>
    <t>Tastiera</t>
  </si>
  <si>
    <t>Marchetti</t>
  </si>
  <si>
    <t>Webcam HD</t>
  </si>
  <si>
    <t>Bruni</t>
  </si>
  <si>
    <t>scanner</t>
  </si>
  <si>
    <t>Tipo cliente</t>
  </si>
  <si>
    <t>Prodotto</t>
  </si>
  <si>
    <t>Vendite lorde</t>
  </si>
  <si>
    <t>Bar</t>
  </si>
  <si>
    <t>Bignè</t>
  </si>
  <si>
    <t>Torta Sacher</t>
  </si>
  <si>
    <t>Cannoli</t>
  </si>
  <si>
    <t>Dettaglio</t>
  </si>
  <si>
    <t>GDO</t>
  </si>
  <si>
    <t>Torta Chantilly</t>
  </si>
  <si>
    <t>Ristorante</t>
  </si>
  <si>
    <t>IDPRODOTTO</t>
  </si>
  <si>
    <t>Chiara</t>
  </si>
  <si>
    <t>Via Bari 16</t>
  </si>
  <si>
    <t>Bari</t>
  </si>
  <si>
    <t>Sara</t>
  </si>
  <si>
    <t>Via Dante 7</t>
  </si>
  <si>
    <t>Bologna</t>
  </si>
  <si>
    <t>Davide</t>
  </si>
  <si>
    <t>Serra</t>
  </si>
  <si>
    <t>Via Cagliari 9</t>
  </si>
  <si>
    <t>Cagliari</t>
  </si>
  <si>
    <t>Luca</t>
  </si>
  <si>
    <t>Gallo</t>
  </si>
  <si>
    <t>Via Firenze 19</t>
  </si>
  <si>
    <t>Firenze</t>
  </si>
  <si>
    <t>Andrea</t>
  </si>
  <si>
    <t>Rinaldi</t>
  </si>
  <si>
    <t>Via Roma 2</t>
  </si>
  <si>
    <t>Genova</t>
  </si>
  <si>
    <t>Paolo</t>
  </si>
  <si>
    <t>Ferri</t>
  </si>
  <si>
    <t>Via Milano 33</t>
  </si>
  <si>
    <t>Milano</t>
  </si>
  <si>
    <t>Elena</t>
  </si>
  <si>
    <t>Via Napoli 44</t>
  </si>
  <si>
    <t>Napoli</t>
  </si>
  <si>
    <t>Federica</t>
  </si>
  <si>
    <t>Romano</t>
  </si>
  <si>
    <t>Via Perugia 14</t>
  </si>
  <si>
    <t>Perugia</t>
  </si>
  <si>
    <t>Marco</t>
  </si>
  <si>
    <t>Via delle Rose 12</t>
  </si>
  <si>
    <t>Roma</t>
  </si>
  <si>
    <t>Laura</t>
  </si>
  <si>
    <t>Via Torino 88</t>
  </si>
  <si>
    <t>Torino</t>
  </si>
  <si>
    <t>Matteo</t>
  </si>
  <si>
    <t>Lombardi</t>
  </si>
  <si>
    <t>Via Trieste 27</t>
  </si>
  <si>
    <t>Trieste</t>
  </si>
  <si>
    <t>Giulia</t>
  </si>
  <si>
    <t>Via Garibaldi 5</t>
  </si>
  <si>
    <t>Venezia</t>
  </si>
  <si>
    <t>IVA %</t>
  </si>
  <si>
    <t>IVA €</t>
  </si>
  <si>
    <t>Totale</t>
  </si>
  <si>
    <t>TOTALE LORDO</t>
  </si>
  <si>
    <t>TOTALE NETTO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</si>
</sst>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[$€-410]_-;\-* #,##0.00\ [$€-410]_-;_-* &quot;-&quot;??\ [$€-410]_-;_-@_-"/>
    <numFmt numFmtId="165" formatCode="#,##0.00\ [$€-410];[Red]\-#,##0.00\ [$€-410]"/>
    <numFmt numFmtId="166" formatCode="_-[$€-2]\ * #,##0.00_-;\-[$€-2]\ * #,##0.00_-;_-[$€-2]\ * &quot;-&quot;??_-;_-@_-"/>
    <numFmt numFmtId="167" formatCode="#,##0.00\ [$€-1];[Red]\-#,##0.00\ [$€-1]"/>
    <numFmt numFmtId="168" formatCode="00000"/>
    <numFmt numFmtId="169" formatCode="#,##0.00\ \€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1"/>
      <color theme="3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2">
    <xf numFmtId="0" fontId="0" fillId="0" borderId="0" xfId="0"/>
    <xf numFmtId="164" fontId="0" fillId="0" borderId="1" xfId="0" applyNumberFormat="1" applyBorder="1"/>
    <xf numFmtId="9" fontId="0" fillId="0" borderId="1" xfId="1" applyFont="1" applyBorder="1"/>
    <xf numFmtId="0" fontId="0" fillId="0" borderId="1" xfId="0" applyBorder="1"/>
    <xf numFmtId="0" fontId="6" fillId="2" borderId="2" xfId="0" applyFont="1" applyFill="1" applyBorder="1"/>
    <xf numFmtId="0" fontId="6" fillId="2" borderId="3" xfId="0" applyFont="1" applyFill="1" applyBorder="1"/>
    <xf numFmtId="164" fontId="6" fillId="2" borderId="3" xfId="0" applyNumberFormat="1" applyFont="1" applyFill="1" applyBorder="1"/>
    <xf numFmtId="164" fontId="6" fillId="2" borderId="3" xfId="0" applyNumberFormat="1" applyFont="1" applyFill="1" applyBorder="1" applyAlignment="1">
      <alignment horizontal="left"/>
    </xf>
    <xf numFmtId="165" fontId="6" fillId="2" borderId="4" xfId="0" applyNumberFormat="1" applyFont="1" applyFill="1" applyBorder="1"/>
    <xf numFmtId="0" fontId="0" fillId="0" borderId="5" xfId="0" applyBorder="1"/>
    <xf numFmtId="14" fontId="0" fillId="0" borderId="1" xfId="0" applyNumberFormat="1" applyBorder="1"/>
    <xf numFmtId="165" fontId="0" fillId="0" borderId="6" xfId="0" applyNumberFormat="1" applyBorder="1"/>
    <xf numFmtId="0" fontId="0" fillId="0" borderId="7" xfId="0" applyBorder="1"/>
    <xf numFmtId="14" fontId="0" fillId="0" borderId="8" xfId="0" applyNumberFormat="1" applyBorder="1"/>
    <xf numFmtId="164" fontId="0" fillId="0" borderId="8" xfId="0" applyNumberFormat="1" applyBorder="1"/>
    <xf numFmtId="165" fontId="0" fillId="0" borderId="9" xfId="0" applyNumberFormat="1" applyBorder="1"/>
    <xf numFmtId="0" fontId="3" fillId="0" borderId="0" xfId="0" applyFont="1" applyAlignment="1">
      <alignment horizontal="center"/>
    </xf>
    <xf numFmtId="49" fontId="0" fillId="0" borderId="1" xfId="0" applyNumberFormat="1" applyBorder="1"/>
    <xf numFmtId="14" fontId="0" fillId="0" borderId="6" xfId="0" applyNumberFormat="1" applyBorder="1"/>
    <xf numFmtId="14" fontId="0" fillId="0" borderId="0" xfId="0" applyNumberFormat="1"/>
    <xf numFmtId="0" fontId="3" fillId="0" borderId="0" xfId="0" applyFont="1" applyAlignment="1">
      <alignment horizontal="center" vertical="center"/>
    </xf>
    <xf numFmtId="167" fontId="0" fillId="0" borderId="0" xfId="0" applyNumberFormat="1"/>
    <xf numFmtId="168" fontId="0" fillId="0" borderId="0" xfId="0" applyNumberFormat="1"/>
    <xf numFmtId="0" fontId="0" fillId="0" borderId="9" xfId="0" applyBorder="1"/>
    <xf numFmtId="0" fontId="0" fillId="0" borderId="4" xfId="0" applyBorder="1"/>
    <xf numFmtId="0" fontId="0" fillId="0" borderId="2" xfId="0" applyBorder="1"/>
    <xf numFmtId="0" fontId="4" fillId="0" borderId="5" xfId="0" applyFont="1" applyBorder="1"/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0" fontId="4" fillId="0" borderId="7" xfId="0" applyFont="1" applyBorder="1"/>
    <xf numFmtId="0" fontId="0" fillId="0" borderId="8" xfId="0" applyBorder="1"/>
    <xf numFmtId="9" fontId="0" fillId="0" borderId="8" xfId="1" applyFont="1" applyBorder="1"/>
    <xf numFmtId="164" fontId="0" fillId="0" borderId="9" xfId="0" applyNumberFormat="1" applyBorder="1"/>
    <xf numFmtId="0" fontId="1" fillId="0" borderId="8" xfId="0" applyNumberFormat="1" applyFont="1" applyBorder="1"/>
    <xf numFmtId="0" fontId="0" fillId="0" borderId="6" xfId="0" applyBorder="1"/>
    <xf numFmtId="0" fontId="0" fillId="0" borderId="3" xfId="0" applyBorder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center" vertical="center"/>
    </xf>
    <xf numFmtId="166" fontId="2" fillId="3" borderId="3" xfId="0" applyNumberFormat="1" applyFont="1" applyFill="1" applyBorder="1" applyAlignment="1">
      <alignment horizontal="center" vertical="center"/>
    </xf>
    <xf numFmtId="49" fontId="0" fillId="0" borderId="8" xfId="0" applyNumberFormat="1" applyBorder="1"/>
    <xf numFmtId="169" fontId="0" fillId="0" borderId="0" xfId="0" applyNumberFormat="1"/>
    <xf numFmtId="169" fontId="0" fillId="0" borderId="1" xfId="0" applyNumberFormat="1" applyBorder="1"/>
    <xf numFmtId="169" fontId="0" fillId="0" borderId="8" xfId="0" applyNumberFormat="1" applyBorder="1"/>
    <xf numFmtId="169" fontId="0" fillId="0" borderId="6" xfId="0" applyNumberFormat="1" applyBorder="1"/>
    <xf numFmtId="169" fontId="0" fillId="0" borderId="9" xfId="0" applyNumberFormat="1" applyBorder="1"/>
    <xf numFmtId="0" fontId="9" fillId="0" borderId="0" xfId="0" applyFont="1"/>
  </cellXfs>
  <cellStyles count="2">
    <cellStyle name="Normal" xfId="0" builtinId="0"/>
    <cellStyle name="Percent" xfId="1" builtinId="5"/>
  </cellStyles>
  <dxfs count="115">
    <dxf>
      <fill>
        <patternFill patternType="solid">
          <fgColor indexed="64"/>
          <bgColor rgb="FFFFFACD"/>
        </patternFill>
      </fill>
    </dxf>
    <dxf>
      <fill>
        <patternFill patternType="solid">
          <fgColor indexed="64"/>
          <bgColor rgb="FF90EE90"/>
        </patternFill>
      </fill>
    </dxf>
    <dxf>
      <fill>
        <patternFill patternType="solid">
          <fgColor indexed="64"/>
          <bgColor rgb="FFFFCCCB"/>
        </patternFill>
      </fill>
    </dxf>
    <dxf>
      <font>
        <color rgb="FFFF0000"/>
      </font>
    </dxf>
    <dxf>
      <numFmt numFmtId="168" formatCode="00000"/>
    </dxf>
    <dxf>
      <numFmt numFmtId="167" formatCode="#,##0.00\ [$€-1];[Red]\-#,##0.00\ [$€-1]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169" formatCode="#,##0.00\ \€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 outline="0">
        <left style="thin">
          <color indexed="64"/>
        </left>
        <right/>
        <top/>
        <bottom/>
      </border>
    </dxf>
    <dxf>
      <numFmt numFmtId="19" formatCode="dd/mm/yy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9" formatCode="#,##0.00\ \€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/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9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 diagonalUp="0" diagonalDown="0" outline="0">
        <left style="thin">
          <color indexed="64"/>
        </left>
        <right/>
        <top/>
        <bottom/>
      </border>
    </dxf>
    <dxf>
      <numFmt numFmtId="169" formatCode="#,##0.00\ \€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/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/>
        <top/>
        <bottom/>
      </border>
    </dxf>
    <dxf>
      <numFmt numFmtId="169" formatCode="#,##0.00\ \€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/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9" formatCode="#,##0.00\ \€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#,##0.00\ \€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/>
        <top/>
        <bottom/>
      </border>
    </dxf>
    <dxf>
      <numFmt numFmtId="169" formatCode="#,##0.00\ \€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9" formatCode="#,##0.00\ \€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9" formatCode="#,##0.00\ \€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9" formatCode="#,##0.00\ \€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9" formatCode="#,##0.00\ \€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/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/>
        <top/>
        <bottom/>
      </border>
    </dxf>
    <dxf>
      <numFmt numFmtId="165" formatCode="#,##0.00\ [$€-410];[Red]\-#,##0.00\ [$€-410]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_-* #,##0.00\ [$€-410]_-;\-* #,##0.00\ [$€-410]_-;_-* &quot;-&quot;??\ [$€-410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_-* #,##0.00\ [$€-410]_-;\-* #,##0.00\ [$€-410]_-;_-* &quot;-&quot;??\ [$€-410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/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4" formatCode="_-* #,##0.00\ [$€-410]_-;\-* #,##0.00\ [$€-410]_-;_-* &quot;-&quot;??\ [$€-410]_-;_-@_-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69" formatCode="#,##0.00\ \€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9" formatCode="#,##0.00\ \€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9" formatCode="#,##0.00\ \€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9" formatCode="#,##0.00\ \€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9" formatCode="#,##0.00\ \€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9" formatCode="#,##0.00\ \€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.00\ [$€-410]_-;\-* #,##0.00\ [$€-410]_-;_-* &quot;-&quot;??\ [$€-410]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Fatturato per Articolo (con IVA)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Articoli_Vendita!$A$2:$A$9</c:f>
              <c:strCache>
                <c:ptCount val="8"/>
                <c:pt idx="0">
                  <c:v>COMPUTER</c:v>
                </c:pt>
                <c:pt idx="1">
                  <c:v>STAMPANTI</c:v>
                </c:pt>
                <c:pt idx="2">
                  <c:v>MOUSE</c:v>
                </c:pt>
                <c:pt idx="3">
                  <c:v>MODEM</c:v>
                </c:pt>
                <c:pt idx="4">
                  <c:v>TASTIERE</c:v>
                </c:pt>
                <c:pt idx="5">
                  <c:v>MONITOR</c:v>
                </c:pt>
                <c:pt idx="6">
                  <c:v>CAVI HDMI</c:v>
                </c:pt>
                <c:pt idx="7">
                  <c:v>CAVI USB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Articoli_Vendita!$A$10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0B-4DB6-88F2-1C9F1055AE59}"/>
            </c:ext>
          </c:extLst>
        </c:ser>
        <c:ser>
          <c:idx val="1"/>
          <c:order val="1"/>
          <c:tx>
            <c:v>Totale con IVA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Articoli_Vendita!$A$2:$A$10</c:f>
              <c:strCache>
                <c:ptCount val="9"/>
                <c:pt idx="0">
                  <c:v>COMPUTER</c:v>
                </c:pt>
                <c:pt idx="1">
                  <c:v>STAMPANTI</c:v>
                </c:pt>
                <c:pt idx="2">
                  <c:v>MOUSE</c:v>
                </c:pt>
                <c:pt idx="3">
                  <c:v>MODEM</c:v>
                </c:pt>
                <c:pt idx="4">
                  <c:v>TASTIERE</c:v>
                </c:pt>
                <c:pt idx="5">
                  <c:v>MONITOR</c:v>
                </c:pt>
                <c:pt idx="6">
                  <c:v>CAVI HDMI</c:v>
                </c:pt>
                <c:pt idx="7">
                  <c:v>CAVI USB</c:v>
                </c:pt>
                <c:pt idx="8">
                  <c:v>HARD DISK</c:v>
                </c:pt>
              </c:strCache>
            </c:strRef>
          </c:cat>
          <c:val>
            <c:numRef>
              <c:f>Articoli_Vendita!$I$2:$I$10</c:f>
              <c:numCache>
                <c:formatCode>#,##0.00\ \€</c:formatCode>
                <c:ptCount val="9"/>
                <c:pt idx="0">
                  <c:v>13664</c:v>
                </c:pt>
                <c:pt idx="1">
                  <c:v>5807.2</c:v>
                </c:pt>
                <c:pt idx="2">
                  <c:v>829.6</c:v>
                </c:pt>
                <c:pt idx="3">
                  <c:v>2440</c:v>
                </c:pt>
                <c:pt idx="4">
                  <c:v>1183.4000000000001</c:v>
                </c:pt>
                <c:pt idx="5">
                  <c:v>4672.6000000000004</c:v>
                </c:pt>
                <c:pt idx="6">
                  <c:v>256.2</c:v>
                </c:pt>
                <c:pt idx="7">
                  <c:v>150.06</c:v>
                </c:pt>
                <c:pt idx="8">
                  <c:v>3660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0B-4DB6-88F2-1C9F1055A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7970639"/>
        <c:axId val="1089391471"/>
      </c:barChart>
      <c:catAx>
        <c:axId val="172797063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391471"/>
        <c:crosses val="autoZero"/>
        <c:auto val="1"/>
        <c:lblAlgn val="ctr"/>
        <c:lblOffset val="100"/>
        <c:noMultiLvlLbl val="0"/>
      </c:catAx>
      <c:valAx>
        <c:axId val="1089391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970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8F9F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Andamento Saldo Bancario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Transazioni_Banca!$B$2:$B$9</c:f>
              <c:numCache>
                <c:formatCode>m/d/yyyy</c:formatCode>
                <c:ptCount val="8"/>
                <c:pt idx="0">
                  <c:v>46083</c:v>
                </c:pt>
                <c:pt idx="1">
                  <c:v>46085</c:v>
                </c:pt>
                <c:pt idx="2">
                  <c:v>46095</c:v>
                </c:pt>
                <c:pt idx="3">
                  <c:v>46105</c:v>
                </c:pt>
                <c:pt idx="4">
                  <c:v>46105</c:v>
                </c:pt>
                <c:pt idx="5">
                  <c:v>46106</c:v>
                </c:pt>
                <c:pt idx="6">
                  <c:v>46109</c:v>
                </c:pt>
                <c:pt idx="7">
                  <c:v>46110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46-45BE-95F5-AD95AC9E1357}"/>
            </c:ext>
          </c:extLst>
        </c:ser>
        <c:ser>
          <c:idx val="1"/>
          <c:order val="1"/>
          <c:tx>
            <c:v>Saldo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Transazioni_Banca!$B$2:$B$9</c:f>
              <c:numCache>
                <c:formatCode>m/d/yyyy</c:formatCode>
                <c:ptCount val="8"/>
                <c:pt idx="0">
                  <c:v>46083</c:v>
                </c:pt>
                <c:pt idx="1">
                  <c:v>46085</c:v>
                </c:pt>
                <c:pt idx="2">
                  <c:v>46095</c:v>
                </c:pt>
                <c:pt idx="3">
                  <c:v>46105</c:v>
                </c:pt>
                <c:pt idx="4">
                  <c:v>46105</c:v>
                </c:pt>
                <c:pt idx="5">
                  <c:v>46106</c:v>
                </c:pt>
                <c:pt idx="6">
                  <c:v>46109</c:v>
                </c:pt>
                <c:pt idx="7">
                  <c:v>46110</c:v>
                </c:pt>
              </c:numCache>
            </c:numRef>
          </c:cat>
          <c:val>
            <c:numRef>
              <c:f>Transazioni_Banca!$E$2:$E$9</c:f>
              <c:numCache>
                <c:formatCode>#,##0.00\ [$€-410];[Red]\-#,##0.00\ [$€-410]</c:formatCode>
                <c:ptCount val="8"/>
                <c:pt idx="0">
                  <c:v>3000</c:v>
                </c:pt>
                <c:pt idx="1">
                  <c:v>4500</c:v>
                </c:pt>
                <c:pt idx="2">
                  <c:v>2500</c:v>
                </c:pt>
                <c:pt idx="3">
                  <c:v>-500</c:v>
                </c:pt>
                <c:pt idx="4">
                  <c:v>300</c:v>
                </c:pt>
                <c:pt idx="5">
                  <c:v>500</c:v>
                </c:pt>
                <c:pt idx="6">
                  <c:v>400</c:v>
                </c:pt>
                <c:pt idx="7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46-45BE-95F5-AD95AC9E1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7947439"/>
        <c:axId val="1089372271"/>
      </c:lineChart>
      <c:catAx>
        <c:axId val="17279474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372271"/>
        <c:crosses val="autoZero"/>
        <c:auto val="1"/>
        <c:lblAlgn val="ctr"/>
        <c:lblOffset val="100"/>
        <c:noMultiLvlLbl val="0"/>
      </c:catAx>
      <c:valAx>
        <c:axId val="108937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947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8F9F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Incasso vs Budget per Venditore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Venditori_Premi!$B$1</c:f>
              <c:strCache>
                <c:ptCount val="1"/>
                <c:pt idx="0">
                  <c:v>INCASSO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Venditori_Premi!$A$2:$A$7</c:f>
              <c:strCache>
                <c:ptCount val="6"/>
                <c:pt idx="0">
                  <c:v>BIANCHI</c:v>
                </c:pt>
                <c:pt idx="1">
                  <c:v>VERDI</c:v>
                </c:pt>
                <c:pt idx="2">
                  <c:v>GIALLI</c:v>
                </c:pt>
                <c:pt idx="3">
                  <c:v>NERI</c:v>
                </c:pt>
                <c:pt idx="4">
                  <c:v>ROSSI</c:v>
                </c:pt>
                <c:pt idx="5">
                  <c:v>BLU</c:v>
                </c:pt>
              </c:strCache>
            </c:strRef>
          </c:cat>
          <c:val>
            <c:numRef>
              <c:f>Venditori_Premi!$B$2:$B$7</c:f>
              <c:numCache>
                <c:formatCode>#,##0.00\ \€</c:formatCode>
                <c:ptCount val="6"/>
                <c:pt idx="0">
                  <c:v>800</c:v>
                </c:pt>
                <c:pt idx="1">
                  <c:v>400</c:v>
                </c:pt>
                <c:pt idx="2">
                  <c:v>700</c:v>
                </c:pt>
                <c:pt idx="3">
                  <c:v>100</c:v>
                </c:pt>
                <c:pt idx="4">
                  <c:v>500</c:v>
                </c:pt>
                <c:pt idx="5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13-468C-B2F8-89076BF3A688}"/>
            </c:ext>
          </c:extLst>
        </c:ser>
        <c:ser>
          <c:idx val="1"/>
          <c:order val="1"/>
          <c:tx>
            <c:strRef>
              <c:f>Venditori_Premi!$C$1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Venditori_Premi!$A$2:$A$7</c:f>
              <c:strCache>
                <c:ptCount val="6"/>
                <c:pt idx="0">
                  <c:v>BIANCHI</c:v>
                </c:pt>
                <c:pt idx="1">
                  <c:v>VERDI</c:v>
                </c:pt>
                <c:pt idx="2">
                  <c:v>GIALLI</c:v>
                </c:pt>
                <c:pt idx="3">
                  <c:v>NERI</c:v>
                </c:pt>
                <c:pt idx="4">
                  <c:v>ROSSI</c:v>
                </c:pt>
                <c:pt idx="5">
                  <c:v>BLU</c:v>
                </c:pt>
              </c:strCache>
            </c:strRef>
          </c:cat>
          <c:val>
            <c:numRef>
              <c:f>Venditori_Premi!$C$2:$C$7</c:f>
              <c:numCache>
                <c:formatCode>#,##0.00\ \€</c:formatCode>
                <c:ptCount val="6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500</c:v>
                </c:pt>
                <c:pt idx="5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13-468C-B2F8-89076BF3A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7953935"/>
        <c:axId val="1089427951"/>
      </c:barChart>
      <c:catAx>
        <c:axId val="172795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427951"/>
        <c:crosses val="autoZero"/>
        <c:auto val="1"/>
        <c:lblAlgn val="ctr"/>
        <c:lblOffset val="100"/>
        <c:noMultiLvlLbl val="0"/>
      </c:catAx>
      <c:valAx>
        <c:axId val="108942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\€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953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8F9F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Confronto Prezzi 2025 vs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'Confronto_Prezzi'!$B$1</c:f>
              <c:strCache>
                <c:ptCount val="1"/>
                <c:pt idx="0">
                  <c:v>PREZZO 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'Confronto_Prezzi'!$A$2:$A$8</c:f>
              <c:strCache>
                <c:ptCount val="7"/>
                <c:pt idx="0">
                  <c:v>FRIGORIFERO</c:v>
                </c:pt>
                <c:pt idx="1">
                  <c:v>MACCHINA CAFFE'</c:v>
                </c:pt>
                <c:pt idx="2">
                  <c:v>FORNO</c:v>
                </c:pt>
                <c:pt idx="3">
                  <c:v>MICROONDE</c:v>
                </c:pt>
                <c:pt idx="4">
                  <c:v>LAVATRICE</c:v>
                </c:pt>
                <c:pt idx="5">
                  <c:v>FRIGGITRICE</c:v>
                </c:pt>
                <c:pt idx="6">
                  <c:v>TOSTAPANE</c:v>
                </c:pt>
              </c:strCache>
            </c:strRef>
          </c:cat>
          <c:val>
            <c:numRef>
              <c:f>'Confronto_Prezzi'!$B$2:$B$8</c:f>
              <c:numCache>
                <c:formatCode>#,##0.00\ \€</c:formatCode>
                <c:ptCount val="7"/>
                <c:pt idx="0">
                  <c:v>400</c:v>
                </c:pt>
                <c:pt idx="1">
                  <c:v>80</c:v>
                </c:pt>
                <c:pt idx="2">
                  <c:v>120</c:v>
                </c:pt>
                <c:pt idx="3">
                  <c:v>40</c:v>
                </c:pt>
                <c:pt idx="4">
                  <c:v>500</c:v>
                </c:pt>
                <c:pt idx="5">
                  <c:v>60</c:v>
                </c:pt>
                <c:pt idx="6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C8-42A9-BB51-11E20ED2BBF5}"/>
            </c:ext>
          </c:extLst>
        </c:ser>
        <c:ser>
          <c:idx val="1"/>
          <c:order val="1"/>
          <c:tx>
            <c:strRef>
              <c:f>'Confronto_Prezzi'!$C$1</c:f>
              <c:strCache>
                <c:ptCount val="1"/>
                <c:pt idx="0">
                  <c:v>PREZZO 2026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'Confronto_Prezzi'!$A$2:$A$8</c:f>
              <c:strCache>
                <c:ptCount val="7"/>
                <c:pt idx="0">
                  <c:v>FRIGORIFERO</c:v>
                </c:pt>
                <c:pt idx="1">
                  <c:v>MACCHINA CAFFE'</c:v>
                </c:pt>
                <c:pt idx="2">
                  <c:v>FORNO</c:v>
                </c:pt>
                <c:pt idx="3">
                  <c:v>MICROONDE</c:v>
                </c:pt>
                <c:pt idx="4">
                  <c:v>LAVATRICE</c:v>
                </c:pt>
                <c:pt idx="5">
                  <c:v>FRIGGITRICE</c:v>
                </c:pt>
                <c:pt idx="6">
                  <c:v>TOSTAPANE</c:v>
                </c:pt>
              </c:strCache>
            </c:strRef>
          </c:cat>
          <c:val>
            <c:numRef>
              <c:f>'Confronto_Prezzi'!$C$2:$C$8</c:f>
              <c:numCache>
                <c:formatCode>#,##0.00\ \€</c:formatCode>
                <c:ptCount val="7"/>
                <c:pt idx="0">
                  <c:v>500</c:v>
                </c:pt>
                <c:pt idx="1">
                  <c:v>70</c:v>
                </c:pt>
                <c:pt idx="2">
                  <c:v>120</c:v>
                </c:pt>
                <c:pt idx="3">
                  <c:v>55</c:v>
                </c:pt>
                <c:pt idx="4">
                  <c:v>450</c:v>
                </c:pt>
                <c:pt idx="5">
                  <c:v>60</c:v>
                </c:pt>
                <c:pt idx="6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C8-42A9-BB51-11E20ED2B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7999407"/>
        <c:axId val="1089401551"/>
      </c:barChart>
      <c:catAx>
        <c:axId val="172799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401551"/>
        <c:crosses val="autoZero"/>
        <c:auto val="1"/>
        <c:lblAlgn val="ctr"/>
        <c:lblOffset val="100"/>
        <c:noMultiLvlLbl val="0"/>
      </c:catAx>
      <c:valAx>
        <c:axId val="108940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\€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999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8F9F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Vendite per Area Geografica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Vendite_Area!$B$2:$B$9</c:f>
              <c:strCache>
                <c:ptCount val="8"/>
                <c:pt idx="0">
                  <c:v>EST</c:v>
                </c:pt>
                <c:pt idx="1">
                  <c:v>EST</c:v>
                </c:pt>
                <c:pt idx="2">
                  <c:v>OVEST</c:v>
                </c:pt>
                <c:pt idx="3">
                  <c:v>NORD</c:v>
                </c:pt>
                <c:pt idx="4">
                  <c:v>NORD</c:v>
                </c:pt>
                <c:pt idx="5">
                  <c:v>SUD</c:v>
                </c:pt>
                <c:pt idx="6">
                  <c:v>SUD</c:v>
                </c:pt>
                <c:pt idx="7">
                  <c:v>SUD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332-4928-AF53-CCD8857A5B6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332-4928-AF53-CCD8857A5B6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332-4928-AF53-CCD8857A5B6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332-4928-AF53-CCD8857A5B6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332-4928-AF53-CCD8857A5B6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332-4928-AF53-CCD8857A5B6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332-4928-AF53-CCD8857A5B6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332-4928-AF53-CCD8857A5B6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332-4928-AF53-CCD8857A5B68}"/>
              </c:ext>
            </c:extLst>
          </c:dPt>
          <c:cat>
            <c:strRef>
              <c:f>Vendite_Area!$B$2:$B$10</c:f>
              <c:strCache>
                <c:ptCount val="9"/>
                <c:pt idx="0">
                  <c:v>EST</c:v>
                </c:pt>
                <c:pt idx="1">
                  <c:v>EST</c:v>
                </c:pt>
                <c:pt idx="2">
                  <c:v>OVEST</c:v>
                </c:pt>
                <c:pt idx="3">
                  <c:v>NORD</c:v>
                </c:pt>
                <c:pt idx="4">
                  <c:v>NORD</c:v>
                </c:pt>
                <c:pt idx="5">
                  <c:v>SUD</c:v>
                </c:pt>
                <c:pt idx="6">
                  <c:v>SUD</c:v>
                </c:pt>
                <c:pt idx="7">
                  <c:v>SUD</c:v>
                </c:pt>
                <c:pt idx="8">
                  <c:v>SUD</c:v>
                </c:pt>
              </c:strCache>
            </c:strRef>
          </c:cat>
          <c:val>
            <c:numRef>
              <c:f>Vendite_Area!$D$2:$D$10</c:f>
              <c:numCache>
                <c:formatCode>#,##0.00\ \€</c:formatCode>
                <c:ptCount val="9"/>
                <c:pt idx="0">
                  <c:v>49000</c:v>
                </c:pt>
                <c:pt idx="1">
                  <c:v>77000</c:v>
                </c:pt>
                <c:pt idx="2">
                  <c:v>41000</c:v>
                </c:pt>
                <c:pt idx="3">
                  <c:v>59000</c:v>
                </c:pt>
                <c:pt idx="4">
                  <c:v>69000</c:v>
                </c:pt>
                <c:pt idx="5">
                  <c:v>76000</c:v>
                </c:pt>
                <c:pt idx="6">
                  <c:v>43000</c:v>
                </c:pt>
                <c:pt idx="7">
                  <c:v>65000</c:v>
                </c:pt>
                <c:pt idx="8">
                  <c:v>68000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0E-4CC8-958E-A75CBCF7E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8F9F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Vendite per Venditore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Vendite_Area_2!$A$2:$A$9</c:f>
              <c:strCache>
                <c:ptCount val="8"/>
                <c:pt idx="0">
                  <c:v>BRUNO</c:v>
                </c:pt>
                <c:pt idx="1">
                  <c:v>STEFANO</c:v>
                </c:pt>
                <c:pt idx="2">
                  <c:v>PAOLA</c:v>
                </c:pt>
                <c:pt idx="3">
                  <c:v>MANUEL</c:v>
                </c:pt>
                <c:pt idx="4">
                  <c:v>DAVIDE</c:v>
                </c:pt>
                <c:pt idx="5">
                  <c:v>WALTER</c:v>
                </c:pt>
                <c:pt idx="6">
                  <c:v>FRANCO</c:v>
                </c:pt>
                <c:pt idx="7">
                  <c:v>ANTONIO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Vendite_Area_2!$A$10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78-434B-80C8-03ED4C1C015D}"/>
            </c:ext>
          </c:extLst>
        </c:ser>
        <c:ser>
          <c:idx val="1"/>
          <c:order val="1"/>
          <c:tx>
            <c:v>Vendite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Vendite_Area_2!$A$2:$A$10</c:f>
              <c:strCache>
                <c:ptCount val="9"/>
                <c:pt idx="0">
                  <c:v>BRUNO</c:v>
                </c:pt>
                <c:pt idx="1">
                  <c:v>STEFANO</c:v>
                </c:pt>
                <c:pt idx="2">
                  <c:v>PAOLA</c:v>
                </c:pt>
                <c:pt idx="3">
                  <c:v>MANUEL</c:v>
                </c:pt>
                <c:pt idx="4">
                  <c:v>DAVIDE</c:v>
                </c:pt>
                <c:pt idx="5">
                  <c:v>WALTER</c:v>
                </c:pt>
                <c:pt idx="6">
                  <c:v>FRANCO</c:v>
                </c:pt>
                <c:pt idx="7">
                  <c:v>ANTONIO</c:v>
                </c:pt>
                <c:pt idx="8">
                  <c:v>TERESA</c:v>
                </c:pt>
              </c:strCache>
            </c:strRef>
          </c:cat>
          <c:val>
            <c:numRef>
              <c:f>Vendite_Area_2!$D$2:$D$10</c:f>
              <c:numCache>
                <c:formatCode>#,##0.00\ \€</c:formatCode>
                <c:ptCount val="9"/>
                <c:pt idx="0">
                  <c:v>49000</c:v>
                </c:pt>
                <c:pt idx="1">
                  <c:v>77000</c:v>
                </c:pt>
                <c:pt idx="2">
                  <c:v>41000</c:v>
                </c:pt>
                <c:pt idx="3">
                  <c:v>59000</c:v>
                </c:pt>
                <c:pt idx="4">
                  <c:v>69000</c:v>
                </c:pt>
                <c:pt idx="5">
                  <c:v>76000</c:v>
                </c:pt>
                <c:pt idx="6">
                  <c:v>43000</c:v>
                </c:pt>
                <c:pt idx="7">
                  <c:v>65000</c:v>
                </c:pt>
                <c:pt idx="8">
                  <c:v>68000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78-434B-80C8-03ED4C1C0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7956255"/>
        <c:axId val="1089422191"/>
      </c:barChart>
      <c:catAx>
        <c:axId val="17279562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422191"/>
        <c:crosses val="autoZero"/>
        <c:auto val="1"/>
        <c:lblAlgn val="ctr"/>
        <c:lblOffset val="100"/>
        <c:noMultiLvlLbl val="0"/>
      </c:catAx>
      <c:valAx>
        <c:axId val="108942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956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8F9F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Distribuzione Codici Articoli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Codici_Articoli!$B$1:$B$13</c:f>
              <c:strCache>
                <c:ptCount val="13"/>
                <c:pt idx="0">
                  <c:v>LEFT FUNCTION</c:v>
                </c:pt>
                <c:pt idx="1">
                  <c:v>PLL-03</c:v>
                </c:pt>
                <c:pt idx="2">
                  <c:v>PLL-04</c:v>
                </c:pt>
                <c:pt idx="3">
                  <c:v>ATT-03</c:v>
                </c:pt>
                <c:pt idx="4">
                  <c:v>PLL-05</c:v>
                </c:pt>
                <c:pt idx="5">
                  <c:v>ATT-02</c:v>
                </c:pt>
                <c:pt idx="6">
                  <c:v>ATT-03</c:v>
                </c:pt>
                <c:pt idx="7">
                  <c:v>PLL-05</c:v>
                </c:pt>
                <c:pt idx="8">
                  <c:v>PLL-03</c:v>
                </c:pt>
                <c:pt idx="9">
                  <c:v>PLL-01</c:v>
                </c:pt>
                <c:pt idx="10">
                  <c:v>ATT-02</c:v>
                </c:pt>
                <c:pt idx="11">
                  <c:v>PLL-01</c:v>
                </c:pt>
                <c:pt idx="12">
                  <c:v>PLL-04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Codici_Articoli!$B$14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FE-468C-9A37-2C09BD328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4753327"/>
        <c:axId val="1089390511"/>
      </c:barChart>
      <c:catAx>
        <c:axId val="1204753327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390511"/>
        <c:crosses val="autoZero"/>
        <c:auto val="1"/>
        <c:lblAlgn val="ctr"/>
        <c:lblOffset val="100"/>
        <c:noMultiLvlLbl val="0"/>
      </c:catAx>
      <c:valAx>
        <c:axId val="1089390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753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Stipendi per Dipendente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Stipendio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Anagrafica_Dipendenti!$A$2:$A$12</c:f>
              <c:strCache>
                <c:ptCount val="11"/>
                <c:pt idx="0">
                  <c:v>FILIPPO</c:v>
                </c:pt>
                <c:pt idx="1">
                  <c:v>LAURA</c:v>
                </c:pt>
                <c:pt idx="2">
                  <c:v>MARIA</c:v>
                </c:pt>
                <c:pt idx="3">
                  <c:v>ROSA</c:v>
                </c:pt>
                <c:pt idx="4">
                  <c:v>MICHELE</c:v>
                </c:pt>
                <c:pt idx="5">
                  <c:v>GIANNI</c:v>
                </c:pt>
                <c:pt idx="6">
                  <c:v>UGO</c:v>
                </c:pt>
                <c:pt idx="7">
                  <c:v>LETIZIA</c:v>
                </c:pt>
                <c:pt idx="8">
                  <c:v>CRISTIAN</c:v>
                </c:pt>
                <c:pt idx="9">
                  <c:v>GIOVANNI</c:v>
                </c:pt>
                <c:pt idx="10">
                  <c:v>BRUNO</c:v>
                </c:pt>
              </c:strCache>
            </c:strRef>
          </c:cat>
          <c:val>
            <c:numRef>
              <c:f>Anagrafica_Dipendenti!$F$2:$F$12</c:f>
              <c:numCache>
                <c:formatCode>#,##0.00\ \€</c:formatCode>
                <c:ptCount val="11"/>
                <c:pt idx="0">
                  <c:v>1200</c:v>
                </c:pt>
                <c:pt idx="1">
                  <c:v>1500</c:v>
                </c:pt>
                <c:pt idx="2">
                  <c:v>900</c:v>
                </c:pt>
                <c:pt idx="3">
                  <c:v>1000</c:v>
                </c:pt>
                <c:pt idx="4">
                  <c:v>1000</c:v>
                </c:pt>
                <c:pt idx="5">
                  <c:v>1500</c:v>
                </c:pt>
                <c:pt idx="6">
                  <c:v>1900</c:v>
                </c:pt>
                <c:pt idx="7">
                  <c:v>1500</c:v>
                </c:pt>
                <c:pt idx="8">
                  <c:v>2100</c:v>
                </c:pt>
                <c:pt idx="9">
                  <c:v>1900</c:v>
                </c:pt>
                <c:pt idx="10">
                  <c:v>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69-4BBB-8CDD-71606724B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8006831"/>
        <c:axId val="1089387631"/>
      </c:barChart>
      <c:catAx>
        <c:axId val="172800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387631"/>
        <c:crosses val="autoZero"/>
        <c:auto val="1"/>
        <c:lblAlgn val="ctr"/>
        <c:lblOffset val="100"/>
        <c:noMultiLvlLbl val="0"/>
      </c:catAx>
      <c:valAx>
        <c:axId val="108938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\€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006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Importo Vendite per Prodotto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v>Importo</c:v>
          </c:tx>
          <c:spPr>
            <a:pattFill prst="ltUpDiag">
              <a:fgClr>
                <a:schemeClr val="accent2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Vendite_Prodotti!$C$2:$C$12</c:f>
              <c:strCache>
                <c:ptCount val="11"/>
                <c:pt idx="0">
                  <c:v>Cuffie BT</c:v>
                </c:pt>
                <c:pt idx="1">
                  <c:v>Hard Disk 1TB</c:v>
                </c:pt>
                <c:pt idx="2">
                  <c:v>Laptop</c:v>
                </c:pt>
                <c:pt idx="3">
                  <c:v>Monitor 27"</c:v>
                </c:pt>
                <c:pt idx="4">
                  <c:v>Mouse Wireless</c:v>
                </c:pt>
                <c:pt idx="5">
                  <c:v>Smartphone</c:v>
                </c:pt>
                <c:pt idx="6">
                  <c:v>Stampante</c:v>
                </c:pt>
                <c:pt idx="7">
                  <c:v>Tablet</c:v>
                </c:pt>
                <c:pt idx="8">
                  <c:v>Tastiera</c:v>
                </c:pt>
                <c:pt idx="9">
                  <c:v>Webcam HD</c:v>
                </c:pt>
                <c:pt idx="10">
                  <c:v>scanner</c:v>
                </c:pt>
              </c:strCache>
            </c:strRef>
          </c:cat>
          <c:val>
            <c:numRef>
              <c:f>Vendite_Prodotti!$F$2:$F$12</c:f>
              <c:numCache>
                <c:formatCode>#,##0.00\ \€</c:formatCode>
                <c:ptCount val="11"/>
                <c:pt idx="0">
                  <c:v>1980</c:v>
                </c:pt>
                <c:pt idx="1">
                  <c:v>1820</c:v>
                </c:pt>
                <c:pt idx="2">
                  <c:v>9480</c:v>
                </c:pt>
                <c:pt idx="3">
                  <c:v>4350</c:v>
                </c:pt>
                <c:pt idx="4">
                  <c:v>875</c:v>
                </c:pt>
                <c:pt idx="5">
                  <c:v>6750</c:v>
                </c:pt>
                <c:pt idx="6">
                  <c:v>1540</c:v>
                </c:pt>
                <c:pt idx="7">
                  <c:v>3960</c:v>
                </c:pt>
                <c:pt idx="8">
                  <c:v>1200</c:v>
                </c:pt>
                <c:pt idx="9">
                  <c:v>1500</c:v>
                </c:pt>
                <c:pt idx="10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54-44AF-A069-321B34364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723335455"/>
        <c:axId val="1089409231"/>
      </c:barChart>
      <c:catAx>
        <c:axId val="1723335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409231"/>
        <c:crosses val="autoZero"/>
        <c:auto val="1"/>
        <c:lblAlgn val="ctr"/>
        <c:lblOffset val="100"/>
        <c:noMultiLvlLbl val="0"/>
      </c:catAx>
      <c:valAx>
        <c:axId val="1089409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#,##0.00\ \€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335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Vendite per Tipo Cliente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Vendite_Clienti!$C$1</c:f>
              <c:strCache>
                <c:ptCount val="1"/>
                <c:pt idx="0">
                  <c:v>Vendite lorde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577-4C97-88CE-E62459FDA8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577-4C97-88CE-E62459FDA8A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577-4C97-88CE-E62459FDA8A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577-4C97-88CE-E62459FDA8A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577-4C97-88CE-E62459FDA8A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577-4C97-88CE-E62459FDA8A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577-4C97-88CE-E62459FDA8A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577-4C97-88CE-E62459FDA8A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577-4C97-88CE-E62459FDA8A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577-4C97-88CE-E62459FDA8A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577-4C97-88CE-E62459FDA8A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0577-4C97-88CE-E62459FDA8A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0577-4C97-88CE-E62459FDA8A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0577-4C97-88CE-E62459FDA8A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0577-4C97-88CE-E62459FDA8A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0577-4C97-88CE-E62459FDA8A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0577-4C97-88CE-E62459FDA8A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0577-4C97-88CE-E62459FDA8A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0577-4C97-88CE-E62459FDA8A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0577-4C97-88CE-E62459FDA8A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0577-4C97-88CE-E62459FDA8A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0577-4C97-88CE-E62459FDA8A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0577-4C97-88CE-E62459FDA8A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0577-4C97-88CE-E62459FDA8AE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0577-4C97-88CE-E62459FDA8AE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0577-4C97-88CE-E62459FDA8AE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0577-4C97-88CE-E62459FDA8AE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0577-4C97-88CE-E62459FDA8AE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0577-4C97-88CE-E62459FDA8AE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0577-4C97-88CE-E62459FDA8AE}"/>
              </c:ext>
            </c:extLst>
          </c:dPt>
          <c:cat>
            <c:multiLvlStrRef>
              <c:f>Vendite_Clienti!$A$2:$B$31</c:f>
              <c:multiLvlStrCache>
                <c:ptCount val="30"/>
                <c:lvl>
                  <c:pt idx="0">
                    <c:v>Bignè</c:v>
                  </c:pt>
                  <c:pt idx="1">
                    <c:v>Bignè</c:v>
                  </c:pt>
                  <c:pt idx="2">
                    <c:v>Bignè</c:v>
                  </c:pt>
                  <c:pt idx="3">
                    <c:v>Torta Sacher</c:v>
                  </c:pt>
                  <c:pt idx="4">
                    <c:v>Torta Sacher</c:v>
                  </c:pt>
                  <c:pt idx="5">
                    <c:v>Cannoli</c:v>
                  </c:pt>
                  <c:pt idx="6">
                    <c:v>Cannoli</c:v>
                  </c:pt>
                  <c:pt idx="7">
                    <c:v>Bignè</c:v>
                  </c:pt>
                  <c:pt idx="8">
                    <c:v>Torta Sacher</c:v>
                  </c:pt>
                  <c:pt idx="9">
                    <c:v>Torta Sacher</c:v>
                  </c:pt>
                  <c:pt idx="10">
                    <c:v>Bignè</c:v>
                  </c:pt>
                  <c:pt idx="11">
                    <c:v>Bignè</c:v>
                  </c:pt>
                  <c:pt idx="12">
                    <c:v>Bignè</c:v>
                  </c:pt>
                  <c:pt idx="13">
                    <c:v>Bignè</c:v>
                  </c:pt>
                  <c:pt idx="14">
                    <c:v>Bignè</c:v>
                  </c:pt>
                  <c:pt idx="15">
                    <c:v>Bignè</c:v>
                  </c:pt>
                  <c:pt idx="16">
                    <c:v>Cannoli</c:v>
                  </c:pt>
                  <c:pt idx="17">
                    <c:v>Torta Chantilly</c:v>
                  </c:pt>
                  <c:pt idx="18">
                    <c:v>Torta Chantilly</c:v>
                  </c:pt>
                  <c:pt idx="19">
                    <c:v>Torta Chantilly</c:v>
                  </c:pt>
                  <c:pt idx="20">
                    <c:v>Bignè</c:v>
                  </c:pt>
                  <c:pt idx="21">
                    <c:v>Torta Sacher</c:v>
                  </c:pt>
                  <c:pt idx="22">
                    <c:v>Torta Sacher</c:v>
                  </c:pt>
                  <c:pt idx="23">
                    <c:v>Bignè</c:v>
                  </c:pt>
                  <c:pt idx="24">
                    <c:v>Bignè</c:v>
                  </c:pt>
                  <c:pt idx="25">
                    <c:v>Bignè</c:v>
                  </c:pt>
                  <c:pt idx="26">
                    <c:v>Bignè</c:v>
                  </c:pt>
                  <c:pt idx="27">
                    <c:v>Bignè</c:v>
                  </c:pt>
                  <c:pt idx="28">
                    <c:v>Bignè</c:v>
                  </c:pt>
                  <c:pt idx="29">
                    <c:v>Bignè</c:v>
                  </c:pt>
                </c:lvl>
                <c:lvl>
                  <c:pt idx="0">
                    <c:v>Bar</c:v>
                  </c:pt>
                  <c:pt idx="1">
                    <c:v>Bar</c:v>
                  </c:pt>
                  <c:pt idx="2">
                    <c:v>Bar</c:v>
                  </c:pt>
                  <c:pt idx="3">
                    <c:v>Bar</c:v>
                  </c:pt>
                  <c:pt idx="4">
                    <c:v>Bar</c:v>
                  </c:pt>
                  <c:pt idx="5">
                    <c:v>Bar</c:v>
                  </c:pt>
                  <c:pt idx="6">
                    <c:v>Bar</c:v>
                  </c:pt>
                  <c:pt idx="7">
                    <c:v>Bar</c:v>
                  </c:pt>
                  <c:pt idx="8">
                    <c:v>Dettaglio</c:v>
                  </c:pt>
                  <c:pt idx="9">
                    <c:v>Dettaglio</c:v>
                  </c:pt>
                  <c:pt idx="10">
                    <c:v>Dettaglio</c:v>
                  </c:pt>
                  <c:pt idx="11">
                    <c:v>Dettaglio</c:v>
                  </c:pt>
                  <c:pt idx="12">
                    <c:v>Dettaglio</c:v>
                  </c:pt>
                  <c:pt idx="13">
                    <c:v>Dettaglio</c:v>
                  </c:pt>
                  <c:pt idx="14">
                    <c:v>Dettaglio</c:v>
                  </c:pt>
                  <c:pt idx="15">
                    <c:v>Dettaglio</c:v>
                  </c:pt>
                  <c:pt idx="16">
                    <c:v>Dettaglio</c:v>
                  </c:pt>
                  <c:pt idx="17">
                    <c:v>GDO</c:v>
                  </c:pt>
                  <c:pt idx="18">
                    <c:v>GDO</c:v>
                  </c:pt>
                  <c:pt idx="19">
                    <c:v>GDO</c:v>
                  </c:pt>
                  <c:pt idx="20">
                    <c:v>GDO</c:v>
                  </c:pt>
                  <c:pt idx="21">
                    <c:v>GDO</c:v>
                  </c:pt>
                  <c:pt idx="22">
                    <c:v>GDO</c:v>
                  </c:pt>
                  <c:pt idx="23">
                    <c:v>GDO</c:v>
                  </c:pt>
                  <c:pt idx="24">
                    <c:v>GDO</c:v>
                  </c:pt>
                  <c:pt idx="25">
                    <c:v>GDO</c:v>
                  </c:pt>
                  <c:pt idx="26">
                    <c:v>GDO</c:v>
                  </c:pt>
                  <c:pt idx="27">
                    <c:v>GDO</c:v>
                  </c:pt>
                  <c:pt idx="28">
                    <c:v>Ristorante</c:v>
                  </c:pt>
                  <c:pt idx="29">
                    <c:v>Ristorante</c:v>
                  </c:pt>
                </c:lvl>
              </c:multiLvlStrCache>
            </c:multiLvlStrRef>
          </c:cat>
          <c:val>
            <c:numRef>
              <c:f>Vendite_Clienti!$C$2:$C$31</c:f>
              <c:numCache>
                <c:formatCode>#,##0.00\ [$€-1];[Red]\-#,##0.00\ [$€-1]</c:formatCode>
                <c:ptCount val="30"/>
                <c:pt idx="0">
                  <c:v>136</c:v>
                </c:pt>
                <c:pt idx="1">
                  <c:v>18</c:v>
                </c:pt>
                <c:pt idx="2">
                  <c:v>16</c:v>
                </c:pt>
                <c:pt idx="3">
                  <c:v>850</c:v>
                </c:pt>
                <c:pt idx="4">
                  <c:v>575</c:v>
                </c:pt>
                <c:pt idx="5">
                  <c:v>12500</c:v>
                </c:pt>
                <c:pt idx="6">
                  <c:v>5750</c:v>
                </c:pt>
                <c:pt idx="7">
                  <c:v>468</c:v>
                </c:pt>
                <c:pt idx="8">
                  <c:v>57500</c:v>
                </c:pt>
                <c:pt idx="9">
                  <c:v>13350</c:v>
                </c:pt>
                <c:pt idx="10">
                  <c:v>774</c:v>
                </c:pt>
                <c:pt idx="11">
                  <c:v>1268</c:v>
                </c:pt>
                <c:pt idx="12">
                  <c:v>196</c:v>
                </c:pt>
                <c:pt idx="13">
                  <c:v>1490</c:v>
                </c:pt>
                <c:pt idx="14">
                  <c:v>4600</c:v>
                </c:pt>
                <c:pt idx="15">
                  <c:v>152</c:v>
                </c:pt>
                <c:pt idx="16">
                  <c:v>1355</c:v>
                </c:pt>
                <c:pt idx="17">
                  <c:v>28000</c:v>
                </c:pt>
                <c:pt idx="18">
                  <c:v>6900</c:v>
                </c:pt>
                <c:pt idx="19">
                  <c:v>1940</c:v>
                </c:pt>
                <c:pt idx="20">
                  <c:v>166</c:v>
                </c:pt>
                <c:pt idx="21">
                  <c:v>850</c:v>
                </c:pt>
                <c:pt idx="22">
                  <c:v>17000</c:v>
                </c:pt>
                <c:pt idx="23">
                  <c:v>280</c:v>
                </c:pt>
                <c:pt idx="24">
                  <c:v>7134</c:v>
                </c:pt>
                <c:pt idx="25">
                  <c:v>15306</c:v>
                </c:pt>
                <c:pt idx="26">
                  <c:v>17530</c:v>
                </c:pt>
                <c:pt idx="27">
                  <c:v>8736</c:v>
                </c:pt>
                <c:pt idx="28">
                  <c:v>112</c:v>
                </c:pt>
                <c:pt idx="29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EE-480D-9693-5FA99C942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Distribuzione Clienti per Città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Anagrafica_Clienti!$E$1:$E$13</c:f>
              <c:strCache>
                <c:ptCount val="13"/>
                <c:pt idx="0">
                  <c:v>CITTA'</c:v>
                </c:pt>
                <c:pt idx="1">
                  <c:v>Bari</c:v>
                </c:pt>
                <c:pt idx="2">
                  <c:v>Bologna</c:v>
                </c:pt>
                <c:pt idx="3">
                  <c:v>Cagliari</c:v>
                </c:pt>
                <c:pt idx="4">
                  <c:v>Firenze</c:v>
                </c:pt>
                <c:pt idx="5">
                  <c:v>Genova</c:v>
                </c:pt>
                <c:pt idx="6">
                  <c:v>Milano</c:v>
                </c:pt>
                <c:pt idx="7">
                  <c:v>Napoli</c:v>
                </c:pt>
                <c:pt idx="8">
                  <c:v>Perugia</c:v>
                </c:pt>
                <c:pt idx="9">
                  <c:v>Roma</c:v>
                </c:pt>
                <c:pt idx="10">
                  <c:v>Torino</c:v>
                </c:pt>
                <c:pt idx="11">
                  <c:v>Torino</c:v>
                </c:pt>
                <c:pt idx="12">
                  <c:v>Trieste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3BB-4137-82F8-A41D701F1F95}"/>
              </c:ext>
            </c:extLst>
          </c:dPt>
          <c:val>
            <c:numRef>
              <c:f>Anagrafica_Clienti!$E$14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E2-44BD-B228-698EE53EA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CBBEE83C-BE04-64DF-BCF1-C12F17F4B2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3CF0B626-6A5D-3D52-F6A8-6200ABB4CD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15</xdr:col>
      <xdr:colOff>0</xdr:colOff>
      <xdr:row>16</xdr:row>
      <xdr:rowOff>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5BF0C0BA-B25E-FB14-3FE5-1BFB468629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0</xdr:colOff>
      <xdr:row>16</xdr:row>
      <xdr:rowOff>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E3296CA-0752-1A83-24A8-9620A34361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0</xdr:colOff>
      <xdr:row>16</xdr:row>
      <xdr:rowOff>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9387A33-A953-6107-0884-6AB172268A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0</xdr:colOff>
      <xdr:row>16</xdr:row>
      <xdr:rowOff>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AA6FAF4-2F50-0433-7A7A-1240508CBF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C2908DC4-BFE9-4004-659E-2199F57E67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2963299-AE7E-30F8-33DA-5253129224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CDD989BB-9F5B-3F7E-E7E7-21585AED28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940DDAEB-6E87-FD90-EC16-B815F1C15F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B130F7D-B0B0-DC4E-6BCD-2A9D217C05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F44F94C-5ECA-4E47-A5B8-81CBED2F7E7B}" name="Articoli" displayName="Articoli" ref="A1:I11" totalsRowCount="1" headerRowDxfId="114" headerRowBorderDxfId="113" tableBorderDxfId="112" totalsRowBorderDxfId="111">
  <autoFilter ref="A1:I10" xr:uid="{7F44F94C-5ECA-4E47-A5B8-81CBED2F7E7B}"/>
  <tableColumns count="9">
    <tableColumn id="1" xr3:uid="{8A56FE32-372A-4267-A74D-BAE6B7AC5960}" name="ARTICOLO" totalsRowLabel="Totale" dataDxfId="110" totalsRowDxfId="109"/>
    <tableColumn id="2" xr3:uid="{551D1A50-8F13-42A3-8D87-D79E6B59BDEF}" name="QUANTITA'" dataDxfId="108" totalsRowDxfId="107"/>
    <tableColumn id="3" xr3:uid="{16C02063-11B5-4C5F-8352-EF6112FB868E}" name="PREZZO UNITARIO" dataDxfId="106" totalsRowDxfId="105"/>
    <tableColumn id="4" xr3:uid="{C8E9C94D-18A8-40AD-85CC-E630191949C4}" name="TOTALE LORDO" dataDxfId="104" totalsRowDxfId="103">
      <calculatedColumnFormula>B2*C2</calculatedColumnFormula>
    </tableColumn>
    <tableColumn id="5" xr3:uid="{5FDA2E60-3335-4492-A3DE-3136958FAE9E}" name="SCONTO" dataDxfId="102" totalsRowDxfId="101"/>
    <tableColumn id="6" xr3:uid="{38921642-0D2A-4719-8399-61A737A4B49B}" name="TOTALE NETTO" dataDxfId="100" totalsRowDxfId="99">
      <calculatedColumnFormula>D2-E2</calculatedColumnFormula>
    </tableColumn>
    <tableColumn id="7" xr3:uid="{0C7D71C9-B72E-495C-8F2C-6399EA3D9614}" name="IVA %" dataDxfId="98" totalsRowDxfId="97"/>
    <tableColumn id="8" xr3:uid="{1AA1453C-9A20-4D82-8DB5-9BF9145FAF00}" name="IVA €" dataDxfId="96" totalsRowDxfId="95">
      <calculatedColumnFormula>F2*G2</calculatedColumnFormula>
    </tableColumn>
    <tableColumn id="9" xr3:uid="{AD2355C9-7E40-4380-BEE1-488456AEEE02}" name="TOTALE CON IVA" totalsRowFunction="sum" dataDxfId="94" totalsRowDxfId="93">
      <calculatedColumnFormula>F2+H2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612B0E-9B5D-43DE-A679-3FA807B7B858}" name="Transazioni_Bancarie" displayName="Transazioni_Bancarie" ref="A1:E10" totalsRowCount="1" headerRowDxfId="92" headerRowBorderDxfId="91" tableBorderDxfId="90" totalsRowBorderDxfId="89">
  <autoFilter ref="A1:E9" xr:uid="{B7612B0E-9B5D-43DE-A679-3FA807B7B858}"/>
  <tableColumns count="5">
    <tableColumn id="1" xr3:uid="{7BD6624C-1001-421F-8DAD-D24AB344FED7}" name="DESCRIPTION" totalsRowLabel="Totale" dataDxfId="88" totalsRowDxfId="87"/>
    <tableColumn id="2" xr3:uid="{F928ECB4-9ADD-4A30-B24B-F39D36439145}" name="DATE" dataDxfId="86" totalsRowDxfId="85"/>
    <tableColumn id="3" xr3:uid="{0B75034A-0694-4453-8347-BA5C16A6CAFF}" name="INCOME" dataDxfId="84" totalsRowDxfId="83"/>
    <tableColumn id="4" xr3:uid="{DB3AF2F8-8BD9-42B9-94AE-B4A5B0418BD1}" name="OUTCOME" dataDxfId="82" totalsRowDxfId="81"/>
    <tableColumn id="5" xr3:uid="{AD02295C-41FC-44C1-820D-0CD2B0B9AA7D}" name="BALANCE" totalsRowFunction="sum" dataDxfId="80" totalsRowDxfId="79">
      <calculatedColumnFormula>(C2-D2)+E1</calculatedColumnFormula>
    </tableColumn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8561566-6C8D-4459-B9AD-00AC99CFA4FD}" name="Venditori_Stipendi" displayName="Venditori_Stipendi" ref="A1:F8" totalsRowCount="1" headerRowDxfId="78" headerRowBorderDxfId="77" tableBorderDxfId="76" totalsRowBorderDxfId="75">
  <autoFilter ref="A1:F7" xr:uid="{88561566-6C8D-4459-B9AD-00AC99CFA4FD}"/>
  <tableColumns count="6">
    <tableColumn id="1" xr3:uid="{4EA418E7-F692-4E42-8E53-0F3CB81656DB}" name="VENDITORE" totalsRowLabel="Totale" dataDxfId="74" totalsRowDxfId="73"/>
    <tableColumn id="2" xr3:uid="{09C7A609-C1F2-4D5A-B605-FD4ED5AC3A3C}" name="INCASSO" dataDxfId="72" totalsRowDxfId="71"/>
    <tableColumn id="3" xr3:uid="{1C69C133-58E8-4136-868A-591EFB5E26A3}" name="BUDGET" dataDxfId="70" totalsRowDxfId="69"/>
    <tableColumn id="4" xr3:uid="{5F852134-D3AC-4AF5-84D5-40F3C4F0B23E}" name="STIPENDIO BASE" dataDxfId="68" totalsRowDxfId="67"/>
    <tableColumn id="5" xr3:uid="{B98E4447-0BA9-4081-885C-2CE888943D99}" name="PREMIO" dataDxfId="66" totalsRowDxfId="65"/>
    <tableColumn id="6" xr3:uid="{37B3E6D5-277A-40E8-AB90-8073E85C8691}" name="STIPENDIO" totalsRowFunction="sum" dataDxfId="64" totalsRowDxfId="63">
      <calculatedColumnFormula>IF(B2&gt;C2,SUM(D2,E2),D2)</calculatedColumnFormula>
    </tableColumn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27E910C-DFD5-470B-9189-0E68EF6CBB90}" name="Confronto_Prezzi" displayName="Confronto_Prezzi" ref="A1:D8" totalsRowShown="0" headerRowDxfId="62" headerRowBorderDxfId="61" tableBorderDxfId="60" totalsRowBorderDxfId="59">
  <autoFilter ref="A1:D8" xr:uid="{427E910C-DFD5-470B-9189-0E68EF6CBB90}"/>
  <tableColumns count="4">
    <tableColumn id="1" xr3:uid="{39D5F6C0-94A2-4BC8-9158-418D99ADECC3}" name="ARTICOLO" dataDxfId="58"/>
    <tableColumn id="2" xr3:uid="{D97218FD-4909-43B5-974F-575DFEC24E15}" name="PREZZO 2025" dataDxfId="57"/>
    <tableColumn id="3" xr3:uid="{0E135500-76C0-4B65-B319-2740FBFAF573}" name="PREZZO 2026" dataDxfId="56"/>
    <tableColumn id="4" xr3:uid="{B0D17555-AC7C-4F0E-889D-92AB621C1F88}" name="CONFRONTO" dataDxfId="55">
      <calculatedColumnFormula>IF(C2=B2,"INVARIATO",IF(C2&gt;B2,"AUMENTATO","DIMINUITO"))</calculatedColumnFormula>
    </tableColumn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C6E078D-ADDB-44A1-9421-C335B41CC766}" name="Vendite_per_Area" displayName="Vendite_per_Area" ref="A1:D11" totalsRowCount="1" headerRowDxfId="54" headerRowBorderDxfId="53" tableBorderDxfId="52" totalsRowBorderDxfId="51">
  <autoFilter ref="A1:D10" xr:uid="{AC6E078D-ADDB-44A1-9421-C335B41CC766}"/>
  <tableColumns count="4">
    <tableColumn id="1" xr3:uid="{A166A85F-3560-4886-9E24-78AE1F45E849}" name="VENDITORE" totalsRowLabel="Totale" dataDxfId="50" totalsRowDxfId="49"/>
    <tableColumn id="2" xr3:uid="{CDD98762-A3F5-4775-945A-0DC82730A890}" name="AREA" dataDxfId="48" totalsRowDxfId="47"/>
    <tableColumn id="3" xr3:uid="{7561AFCB-53AB-45F5-AD1A-B0252BD94A88}" name="N.ORDINI" dataDxfId="46" totalsRowDxfId="45"/>
    <tableColumn id="4" xr3:uid="{7595E5BD-D2B8-4EA0-BB07-2C704B5DB94F}" name="VENDITE" totalsRowFunction="sum" dataDxfId="44" totalsRowDxfId="43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79D02A3-B73D-4029-96D8-23DFD4B2F35B}" name="Vendite_per_Area_2" displayName="Vendite_per_Area_2" ref="A1:D11" totalsRowCount="1" headerRowDxfId="42" headerRowBorderDxfId="41" tableBorderDxfId="40" totalsRowBorderDxfId="39">
  <autoFilter ref="A1:D10" xr:uid="{F79D02A3-B73D-4029-96D8-23DFD4B2F35B}"/>
  <tableColumns count="4">
    <tableColumn id="1" xr3:uid="{541AA8EF-8567-49DE-95B8-C09C697CFBD8}" name="VENDITORE" totalsRowLabel="Totale" dataDxfId="38" totalsRowDxfId="37"/>
    <tableColumn id="2" xr3:uid="{85416429-836F-460F-8DA9-710B5311010A}" name="AREA" dataDxfId="36" totalsRowDxfId="35"/>
    <tableColumn id="3" xr3:uid="{8018A0E8-9E2F-411C-967C-B9FDC616B402}" name="N.ORDINI" dataDxfId="34" totalsRowDxfId="33"/>
    <tableColumn id="4" xr3:uid="{E1C58BBA-F55F-4543-8215-D6DD7CD97ADE}" name="VENDITE" totalsRowFunction="sum" dataDxfId="32" totalsRowDxfId="31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A700105-6F4B-48E1-8CA1-D1F14E6D882C}" name="Codici_Prodotti" displayName="Codici_Prodotti" ref="A1:E14" totalsRowShown="0" headerRowDxfId="30">
  <autoFilter ref="A1:E14" xr:uid="{AA700105-6F4B-48E1-8CA1-D1F14E6D882C}"/>
  <tableColumns count="5">
    <tableColumn id="1" xr3:uid="{3264B505-4FFF-4F9A-B9F6-CC8B837609EA}" name="ITEMS"/>
    <tableColumn id="2" xr3:uid="{972F2D17-12D0-40C2-AEB8-986BD90B70A9}" name="LEFT FUNCTION">
      <calculatedColumnFormula>LEFT(A2,6)</calculatedColumnFormula>
    </tableColumn>
    <tableColumn id="3" xr3:uid="{2FF4C4E9-2321-4518-8990-08A66CB36B0D}" name="RIGHT FUNCTION"/>
    <tableColumn id="4" xr3:uid="{B5B3B23D-A701-40EE-B29C-F81946D2362C}" name="EXTRACT FUNCTION">
      <calculatedColumnFormula>MID(A2,4,3)</calculatedColumnFormula>
    </tableColumn>
    <tableColumn id="5" xr3:uid="{485F7FC0-864E-487F-8A51-BBE696CCCDD7}" name="CONCATENATES">
      <calculatedColumnFormula>_xlfn.CONCAT(B2," ",C2)</calculatedColumnFormula>
    </tableColumn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FBC95DB-F229-4496-86C2-E749E66D0C6D}" name="Dipendenti" displayName="Dipendenti" ref="A1:G13" totalsRowCount="1" headerRowDxfId="29" headerRowBorderDxfId="28" tableBorderDxfId="27" totalsRowBorderDxfId="26">
  <autoFilter ref="A1:G12" xr:uid="{1FBC95DB-F229-4496-86C2-E749E66D0C6D}"/>
  <tableColumns count="7">
    <tableColumn id="1" xr3:uid="{95ED5B48-C369-428F-9673-38AF9AB4F38C}" name="NOME" totalsRowLabel="Totale" dataDxfId="25" totalsRowDxfId="24"/>
    <tableColumn id="2" xr3:uid="{DD1E5641-019E-4EDB-82B3-F7AE31DC826A}" name="COGNOME" dataDxfId="23" totalsRowDxfId="22"/>
    <tableColumn id="3" xr3:uid="{65AE7120-F7B7-44E4-B196-BBD281010948}" name="INDIRIZZO" dataDxfId="21" totalsRowDxfId="20"/>
    <tableColumn id="4" xr3:uid="{324FD063-FD39-482B-91BE-8B41296F9148}" name="CITTA'" dataDxfId="19" totalsRowDxfId="18"/>
    <tableColumn id="5" xr3:uid="{78B952C2-EDEC-4159-843A-C3D484B0E1F9}" name="CAP" dataDxfId="17" totalsRowDxfId="16"/>
    <tableColumn id="6" xr3:uid="{BF009AC2-7644-45A7-A8C4-272915769BDF}" name="STIPENDIO" dataDxfId="15" totalsRowDxfId="14"/>
    <tableColumn id="7" xr3:uid="{4AAEE3D2-3526-4035-8D22-BEF366A0744E}" name="DATA ASSUNZIONE" totalsRowFunction="count" dataDxfId="13" totalsRowDxfId="12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302789-FF46-4E17-8EAC-7DFAAA49FDCE}" name="Vendite_Dettaglio" displayName="Vendite_Dettaglio" ref="A1:F13" totalsRowCount="1">
  <autoFilter ref="A1:F12" xr:uid="{0A302789-FF46-4E17-8EAC-7DFAAA49FDCE}"/>
  <tableColumns count="6">
    <tableColumn id="1" xr3:uid="{0DFAED5F-B10C-4031-BE46-2F04F4160150}" name="VENDITORE" totalsRowLabel="Totale" dataDxfId="11"/>
    <tableColumn id="2" xr3:uid="{6F209091-7497-4CBC-8442-BF42597B7C20}" name="ZONA" dataDxfId="10"/>
    <tableColumn id="3" xr3:uid="{3B4B3135-B14A-41A8-9AD5-47838DE36DDB}" name="PRODOTTO" dataDxfId="9"/>
    <tableColumn id="4" xr3:uid="{3B90E9D0-C348-4136-B8A9-0599C2396D9E}" name="QUANTITÀ"/>
    <tableColumn id="5" xr3:uid="{31CC7537-1AE9-4C2F-8BEC-E9DC4B3879C3}" name="DATA" dataDxfId="8"/>
    <tableColumn id="6" xr3:uid="{7CB1179E-4DBD-498A-8687-A2BCA0D6F205}" name="IMPORTO(€)" totalsRowFunction="sum" dataDxfId="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0F10A6-2AF4-470E-9AC8-6961E103E43C}" name="Vendite_per_Cliente" displayName="Vendite_per_Cliente" ref="A1:C32" totalsRowCount="1" headerRowDxfId="6">
  <autoFilter ref="A1:C31" xr:uid="{420F10A6-2AF4-470E-9AC8-6961E103E43C}"/>
  <tableColumns count="3">
    <tableColumn id="1" xr3:uid="{8FF69F6C-6AF2-4710-9244-02D691B0A3DA}" name="Tipo cliente" totalsRowLabel="Totale"/>
    <tableColumn id="2" xr3:uid="{9C6C2F14-F4B0-4A45-B628-31FBA7D7D0A4}" name="Prodotto"/>
    <tableColumn id="3" xr3:uid="{6297BD8B-6646-477E-BF1E-31EB69F52741}" name="Vendite lorde" totalsRowFunction="sum" dataDxfId="5"/>
  </tableColumns>
  <tableStyleInfo name="TableStyleMedium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05CA14E-55CE-4DEC-993A-EF08221923F8}" name="Clienti" displayName="Clienti" ref="A1:F14" totalsRowShown="0">
  <autoFilter ref="A1:F14" xr:uid="{F05CA14E-55CE-4DEC-993A-EF08221923F8}"/>
  <tableColumns count="6">
    <tableColumn id="1" xr3:uid="{ED7A0122-21B6-4CB8-9516-1C598BA30BA0}" name="NOME"/>
    <tableColumn id="2" xr3:uid="{889638D8-6B61-4D31-B264-45A52522B206}" name="COGNOME"/>
    <tableColumn id="3" xr3:uid="{4E961346-B652-4621-AB45-605CD091FA0B}" name="INDIRIZZO"/>
    <tableColumn id="4" xr3:uid="{F96048FE-DA43-4E45-8647-29D61103DAC7}" name="CAP" dataDxfId="4"/>
    <tableColumn id="5" xr3:uid="{0ACC748E-DFED-462A-988C-990D6514D20A}" name="CITTA'"/>
    <tableColumn id="6" xr3:uid="{3CB5604E-BC06-47FD-923C-6303B65E5DA7}" name="IDPRODOTTO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1FD38-BAE1-4F1A-BBCE-4F0455C633D6}">
  <dimension ref="A1:I11"/>
  <sheetViews>
    <sheetView workbookViewId="0">
      <selection activeCell="D16" sqref="D16"/>
    </sheetView>
  </sheetViews>
  <sheetFormatPr defaultRowHeight="14.25" x14ac:dyDescent="0.45"/>
  <cols>
    <col min="1" max="1" width="15.3984375" bestFit="1" customWidth="1"/>
    <col min="2" max="2" width="15.86328125" bestFit="1" customWidth="1"/>
    <col min="3" max="3" width="24" bestFit="1" customWidth="1"/>
    <col min="4" max="4" width="21.3984375" bestFit="1" customWidth="1"/>
    <col min="5" max="5" width="15.59765625" bestFit="1" customWidth="1"/>
    <col min="6" max="6" width="21.1328125" bestFit="1" customWidth="1"/>
    <col min="7" max="7" width="11.3984375" bestFit="1" customWidth="1"/>
    <col min="8" max="8" width="10.73046875" bestFit="1" customWidth="1"/>
    <col min="9" max="9" width="22.73046875" bestFit="1" customWidth="1"/>
  </cols>
  <sheetData>
    <row r="1" spans="1:9" x14ac:dyDescent="0.45">
      <c r="A1" s="27" t="s">
        <v>13</v>
      </c>
      <c r="B1" s="28" t="s">
        <v>12</v>
      </c>
      <c r="C1" s="29" t="s">
        <v>11</v>
      </c>
      <c r="D1" s="29" t="s">
        <v>208</v>
      </c>
      <c r="E1" s="29" t="s">
        <v>10</v>
      </c>
      <c r="F1" s="29" t="s">
        <v>209</v>
      </c>
      <c r="G1" s="28" t="s">
        <v>205</v>
      </c>
      <c r="H1" s="28" t="s">
        <v>206</v>
      </c>
      <c r="I1" s="30" t="s">
        <v>9</v>
      </c>
    </row>
    <row r="2" spans="1:9" x14ac:dyDescent="0.45">
      <c r="A2" s="26" t="s">
        <v>8</v>
      </c>
      <c r="B2" s="3">
        <v>40</v>
      </c>
      <c r="C2" s="47">
        <v>300</v>
      </c>
      <c r="D2" s="47">
        <f t="shared" ref="D2:D10" si="0">B2*C2</f>
        <v>12000</v>
      </c>
      <c r="E2" s="47">
        <v>800</v>
      </c>
      <c r="F2" s="47">
        <f t="shared" ref="F2:F10" si="1">D2-E2</f>
        <v>11200</v>
      </c>
      <c r="G2" s="2">
        <v>0.22</v>
      </c>
      <c r="H2" s="47">
        <f t="shared" ref="H2:H10" si="2">F2*G2</f>
        <v>2464</v>
      </c>
      <c r="I2" s="49">
        <f t="shared" ref="I2:I10" si="3">F2+H2</f>
        <v>13664</v>
      </c>
    </row>
    <row r="3" spans="1:9" x14ac:dyDescent="0.45">
      <c r="A3" s="26" t="s">
        <v>7</v>
      </c>
      <c r="B3" s="3">
        <v>64</v>
      </c>
      <c r="C3" s="47">
        <v>90</v>
      </c>
      <c r="D3" s="47">
        <f t="shared" si="0"/>
        <v>5760</v>
      </c>
      <c r="E3" s="47">
        <v>1000</v>
      </c>
      <c r="F3" s="47">
        <f t="shared" si="1"/>
        <v>4760</v>
      </c>
      <c r="G3" s="2">
        <v>0.22</v>
      </c>
      <c r="H3" s="47">
        <f t="shared" si="2"/>
        <v>1047.2</v>
      </c>
      <c r="I3" s="49">
        <f t="shared" si="3"/>
        <v>5807.2</v>
      </c>
    </row>
    <row r="4" spans="1:9" x14ac:dyDescent="0.45">
      <c r="A4" s="26" t="s">
        <v>6</v>
      </c>
      <c r="B4" s="3">
        <v>80</v>
      </c>
      <c r="C4" s="47">
        <v>10</v>
      </c>
      <c r="D4" s="47">
        <f t="shared" si="0"/>
        <v>800</v>
      </c>
      <c r="E4" s="47">
        <v>120</v>
      </c>
      <c r="F4" s="47">
        <f t="shared" si="1"/>
        <v>680</v>
      </c>
      <c r="G4" s="2">
        <v>0.22</v>
      </c>
      <c r="H4" s="47">
        <f t="shared" si="2"/>
        <v>149.6</v>
      </c>
      <c r="I4" s="49">
        <f t="shared" si="3"/>
        <v>829.6</v>
      </c>
    </row>
    <row r="5" spans="1:9" x14ac:dyDescent="0.45">
      <c r="A5" s="26" t="s">
        <v>5</v>
      </c>
      <c r="B5" s="3">
        <v>16</v>
      </c>
      <c r="C5" s="47">
        <v>140</v>
      </c>
      <c r="D5" s="47">
        <f t="shared" si="0"/>
        <v>2240</v>
      </c>
      <c r="E5" s="47">
        <v>240</v>
      </c>
      <c r="F5" s="47">
        <f t="shared" si="1"/>
        <v>2000</v>
      </c>
      <c r="G5" s="2">
        <v>0.22</v>
      </c>
      <c r="H5" s="47">
        <f t="shared" si="2"/>
        <v>440</v>
      </c>
      <c r="I5" s="49">
        <f t="shared" si="3"/>
        <v>2440</v>
      </c>
    </row>
    <row r="6" spans="1:9" x14ac:dyDescent="0.45">
      <c r="A6" s="26" t="s">
        <v>4</v>
      </c>
      <c r="B6" s="3">
        <v>90</v>
      </c>
      <c r="C6" s="47">
        <v>12</v>
      </c>
      <c r="D6" s="47">
        <f t="shared" si="0"/>
        <v>1080</v>
      </c>
      <c r="E6" s="47">
        <v>110</v>
      </c>
      <c r="F6" s="47">
        <f t="shared" si="1"/>
        <v>970</v>
      </c>
      <c r="G6" s="2">
        <v>0.22</v>
      </c>
      <c r="H6" s="47">
        <f t="shared" si="2"/>
        <v>213.4</v>
      </c>
      <c r="I6" s="49">
        <f t="shared" si="3"/>
        <v>1183.4000000000001</v>
      </c>
    </row>
    <row r="7" spans="1:9" x14ac:dyDescent="0.45">
      <c r="A7" s="26" t="s">
        <v>3</v>
      </c>
      <c r="B7" s="3">
        <v>31</v>
      </c>
      <c r="C7" s="47">
        <v>130</v>
      </c>
      <c r="D7" s="47">
        <f t="shared" si="0"/>
        <v>4030</v>
      </c>
      <c r="E7" s="47">
        <v>200</v>
      </c>
      <c r="F7" s="47">
        <f t="shared" si="1"/>
        <v>3830</v>
      </c>
      <c r="G7" s="2">
        <v>0.22</v>
      </c>
      <c r="H7" s="47">
        <f t="shared" si="2"/>
        <v>842.6</v>
      </c>
      <c r="I7" s="49">
        <f t="shared" si="3"/>
        <v>4672.6000000000004</v>
      </c>
    </row>
    <row r="8" spans="1:9" x14ac:dyDescent="0.45">
      <c r="A8" s="26" t="s">
        <v>2</v>
      </c>
      <c r="B8" s="3">
        <v>120</v>
      </c>
      <c r="C8" s="47">
        <v>2</v>
      </c>
      <c r="D8" s="47">
        <f t="shared" si="0"/>
        <v>240</v>
      </c>
      <c r="E8" s="47">
        <v>30</v>
      </c>
      <c r="F8" s="47">
        <f t="shared" si="1"/>
        <v>210</v>
      </c>
      <c r="G8" s="2">
        <v>0.22</v>
      </c>
      <c r="H8" s="47">
        <f t="shared" si="2"/>
        <v>46.2</v>
      </c>
      <c r="I8" s="49">
        <f t="shared" si="3"/>
        <v>256.2</v>
      </c>
    </row>
    <row r="9" spans="1:9" x14ac:dyDescent="0.45">
      <c r="A9" s="26" t="s">
        <v>1</v>
      </c>
      <c r="B9" s="3">
        <v>75</v>
      </c>
      <c r="C9" s="47">
        <v>1.8</v>
      </c>
      <c r="D9" s="47">
        <f t="shared" si="0"/>
        <v>135</v>
      </c>
      <c r="E9" s="47">
        <v>12</v>
      </c>
      <c r="F9" s="47">
        <f t="shared" si="1"/>
        <v>123</v>
      </c>
      <c r="G9" s="2">
        <v>0.22</v>
      </c>
      <c r="H9" s="47">
        <f t="shared" si="2"/>
        <v>27.06</v>
      </c>
      <c r="I9" s="49">
        <f t="shared" si="3"/>
        <v>150.06</v>
      </c>
    </row>
    <row r="10" spans="1:9" x14ac:dyDescent="0.45">
      <c r="A10" s="31" t="s">
        <v>0</v>
      </c>
      <c r="B10" s="32">
        <v>78</v>
      </c>
      <c r="C10" s="48">
        <v>50</v>
      </c>
      <c r="D10" s="48">
        <f t="shared" si="0"/>
        <v>3900</v>
      </c>
      <c r="E10" s="48">
        <v>900</v>
      </c>
      <c r="F10" s="48">
        <f t="shared" si="1"/>
        <v>3000</v>
      </c>
      <c r="G10" s="33">
        <v>0.22</v>
      </c>
      <c r="H10" s="48">
        <f t="shared" si="2"/>
        <v>660</v>
      </c>
      <c r="I10" s="50">
        <f t="shared" si="3"/>
        <v>3660</v>
      </c>
    </row>
    <row r="11" spans="1:9" x14ac:dyDescent="0.45">
      <c r="A11" s="31" t="s">
        <v>207</v>
      </c>
      <c r="B11" s="32"/>
      <c r="C11" s="32"/>
      <c r="D11" s="32"/>
      <c r="E11" s="32"/>
      <c r="F11" s="32"/>
      <c r="G11" s="35"/>
      <c r="H11" s="32"/>
      <c r="I11" s="34">
        <f>SUBTOTAL(109,Articoli[TOTALE CON IVA])</f>
        <v>32663.060000000005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3DC0C-BB34-4F83-BD54-D295F2DB17D1}">
  <dimension ref="A1:E10"/>
  <sheetViews>
    <sheetView workbookViewId="0">
      <selection activeCell="E19" sqref="E19"/>
    </sheetView>
  </sheetViews>
  <sheetFormatPr defaultRowHeight="14.25" x14ac:dyDescent="0.45"/>
  <cols>
    <col min="1" max="1" width="17" bestFit="1" customWidth="1"/>
    <col min="2" max="2" width="10.3984375" bestFit="1" customWidth="1"/>
    <col min="3" max="3" width="13" bestFit="1" customWidth="1"/>
    <col min="4" max="4" width="14.73046875" bestFit="1" customWidth="1"/>
    <col min="5" max="5" width="12.3984375" bestFit="1" customWidth="1"/>
  </cols>
  <sheetData>
    <row r="1" spans="1:5" x14ac:dyDescent="0.45">
      <c r="A1" s="4" t="s">
        <v>14</v>
      </c>
      <c r="B1" s="5" t="s">
        <v>15</v>
      </c>
      <c r="C1" s="6" t="s">
        <v>16</v>
      </c>
      <c r="D1" s="7" t="s">
        <v>17</v>
      </c>
      <c r="E1" s="8" t="s">
        <v>18</v>
      </c>
    </row>
    <row r="2" spans="1:5" x14ac:dyDescent="0.45">
      <c r="A2" s="9" t="s">
        <v>19</v>
      </c>
      <c r="B2" s="10">
        <v>46083</v>
      </c>
      <c r="C2" s="1">
        <v>3000</v>
      </c>
      <c r="D2" s="1">
        <v>0</v>
      </c>
      <c r="E2" s="11">
        <f>C2-D2</f>
        <v>3000</v>
      </c>
    </row>
    <row r="3" spans="1:5" x14ac:dyDescent="0.45">
      <c r="A3" s="9" t="s">
        <v>20</v>
      </c>
      <c r="B3" s="10">
        <v>46085</v>
      </c>
      <c r="C3" s="1">
        <v>1500</v>
      </c>
      <c r="D3" s="1">
        <v>0</v>
      </c>
      <c r="E3" s="11">
        <f>(C3-D3)+E2</f>
        <v>4500</v>
      </c>
    </row>
    <row r="4" spans="1:5" x14ac:dyDescent="0.45">
      <c r="A4" s="9" t="s">
        <v>21</v>
      </c>
      <c r="B4" s="10">
        <v>46095</v>
      </c>
      <c r="C4" s="1">
        <v>0</v>
      </c>
      <c r="D4" s="1">
        <v>2000</v>
      </c>
      <c r="E4" s="11">
        <f>(C4-D4)+E3</f>
        <v>2500</v>
      </c>
    </row>
    <row r="5" spans="1:5" x14ac:dyDescent="0.45">
      <c r="A5" s="9" t="s">
        <v>22</v>
      </c>
      <c r="B5" s="10">
        <v>46105</v>
      </c>
      <c r="C5" s="1">
        <v>0</v>
      </c>
      <c r="D5" s="1">
        <v>3000</v>
      </c>
      <c r="E5" s="11">
        <f>(C5-D5)+E4</f>
        <v>-500</v>
      </c>
    </row>
    <row r="6" spans="1:5" x14ac:dyDescent="0.45">
      <c r="A6" s="9" t="s">
        <v>20</v>
      </c>
      <c r="B6" s="10">
        <v>46105</v>
      </c>
      <c r="C6" s="1">
        <v>800</v>
      </c>
      <c r="D6" s="1">
        <v>0</v>
      </c>
      <c r="E6" s="11">
        <f>(C6-D6)+E5</f>
        <v>300</v>
      </c>
    </row>
    <row r="7" spans="1:5" x14ac:dyDescent="0.45">
      <c r="A7" s="9" t="s">
        <v>20</v>
      </c>
      <c r="B7" s="10">
        <v>46106</v>
      </c>
      <c r="C7" s="1">
        <v>400</v>
      </c>
      <c r="D7" s="1">
        <v>200</v>
      </c>
      <c r="E7" s="11">
        <f>(C7-D7)+E6</f>
        <v>500</v>
      </c>
    </row>
    <row r="8" spans="1:5" x14ac:dyDescent="0.45">
      <c r="A8" s="9" t="s">
        <v>21</v>
      </c>
      <c r="B8" s="10">
        <v>46109</v>
      </c>
      <c r="C8" s="1">
        <v>0</v>
      </c>
      <c r="D8" s="1">
        <v>100</v>
      </c>
      <c r="E8" s="11">
        <f t="shared" ref="E8" si="0">(C8-D8)+E7</f>
        <v>400</v>
      </c>
    </row>
    <row r="9" spans="1:5" x14ac:dyDescent="0.45">
      <c r="A9" s="12" t="s">
        <v>20</v>
      </c>
      <c r="B9" s="13">
        <v>46110</v>
      </c>
      <c r="C9" s="14">
        <v>100</v>
      </c>
      <c r="D9" s="14">
        <v>0</v>
      </c>
      <c r="E9" s="15">
        <f>(C9-D9)+E8</f>
        <v>500</v>
      </c>
    </row>
    <row r="10" spans="1:5" x14ac:dyDescent="0.45">
      <c r="A10" s="12" t="s">
        <v>207</v>
      </c>
      <c r="B10" s="32"/>
      <c r="C10" s="32"/>
      <c r="D10" s="32"/>
      <c r="E10" s="15">
        <f>SUBTOTAL(109,Transazioni_Bancarie[BALANCE])</f>
        <v>11200</v>
      </c>
    </row>
  </sheetData>
  <conditionalFormatting sqref="E2:E9">
    <cfRule type="cellIs" dxfId="3" priority="1" operator="lessThan">
      <formula>0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A4E00-0F84-491A-835D-AC43984E9A19}">
  <dimension ref="A1:F8"/>
  <sheetViews>
    <sheetView workbookViewId="0">
      <selection activeCell="D16" sqref="D16"/>
    </sheetView>
  </sheetViews>
  <sheetFormatPr defaultRowHeight="14.25" x14ac:dyDescent="0.45"/>
  <cols>
    <col min="1" max="1" width="13.86328125" bestFit="1" customWidth="1"/>
    <col min="2" max="2" width="11.59765625" bestFit="1" customWidth="1"/>
    <col min="3" max="3" width="10.73046875" bestFit="1" customWidth="1"/>
    <col min="4" max="4" width="18.265625" bestFit="1" customWidth="1"/>
    <col min="5" max="5" width="10.3984375" bestFit="1" customWidth="1"/>
    <col min="6" max="6" width="13.1328125" bestFit="1" customWidth="1"/>
  </cols>
  <sheetData>
    <row r="1" spans="1:6" x14ac:dyDescent="0.45">
      <c r="A1" s="25" t="s">
        <v>23</v>
      </c>
      <c r="B1" s="37" t="s">
        <v>24</v>
      </c>
      <c r="C1" s="37" t="s">
        <v>25</v>
      </c>
      <c r="D1" s="37" t="s">
        <v>26</v>
      </c>
      <c r="E1" s="37" t="s">
        <v>27</v>
      </c>
      <c r="F1" s="24" t="s">
        <v>28</v>
      </c>
    </row>
    <row r="2" spans="1:6" x14ac:dyDescent="0.45">
      <c r="A2" s="9" t="s">
        <v>29</v>
      </c>
      <c r="B2" s="47">
        <v>800</v>
      </c>
      <c r="C2" s="47">
        <v>500</v>
      </c>
      <c r="D2" s="47">
        <v>1000</v>
      </c>
      <c r="E2" s="47">
        <v>400</v>
      </c>
      <c r="F2" s="49">
        <f>IF(B2&gt;C2,SUM(D2,E2),D2)</f>
        <v>1400</v>
      </c>
    </row>
    <row r="3" spans="1:6" x14ac:dyDescent="0.45">
      <c r="A3" s="9" t="s">
        <v>30</v>
      </c>
      <c r="B3" s="47">
        <v>400</v>
      </c>
      <c r="C3" s="47">
        <v>500</v>
      </c>
      <c r="D3" s="47">
        <v>1000</v>
      </c>
      <c r="E3" s="47">
        <v>400</v>
      </c>
      <c r="F3" s="49">
        <f t="shared" ref="F3:F7" si="0">IF(B3&gt;C3,SUM(D3,E3),D3)</f>
        <v>1000</v>
      </c>
    </row>
    <row r="4" spans="1:6" x14ac:dyDescent="0.45">
      <c r="A4" s="9" t="s">
        <v>31</v>
      </c>
      <c r="B4" s="47">
        <v>700</v>
      </c>
      <c r="C4" s="47">
        <v>500</v>
      </c>
      <c r="D4" s="47">
        <v>1000</v>
      </c>
      <c r="E4" s="47">
        <v>400</v>
      </c>
      <c r="F4" s="49">
        <f t="shared" si="0"/>
        <v>1400</v>
      </c>
    </row>
    <row r="5" spans="1:6" x14ac:dyDescent="0.45">
      <c r="A5" s="9" t="s">
        <v>32</v>
      </c>
      <c r="B5" s="47">
        <v>100</v>
      </c>
      <c r="C5" s="47">
        <v>500</v>
      </c>
      <c r="D5" s="47">
        <v>1000</v>
      </c>
      <c r="E5" s="47">
        <v>400</v>
      </c>
      <c r="F5" s="49">
        <f t="shared" si="0"/>
        <v>1000</v>
      </c>
    </row>
    <row r="6" spans="1:6" x14ac:dyDescent="0.45">
      <c r="A6" s="9" t="s">
        <v>33</v>
      </c>
      <c r="B6" s="47">
        <v>500</v>
      </c>
      <c r="C6" s="47">
        <v>500</v>
      </c>
      <c r="D6" s="47">
        <v>1000</v>
      </c>
      <c r="E6" s="47">
        <v>400</v>
      </c>
      <c r="F6" s="49">
        <f t="shared" si="0"/>
        <v>1000</v>
      </c>
    </row>
    <row r="7" spans="1:6" x14ac:dyDescent="0.45">
      <c r="A7" s="12" t="s">
        <v>34</v>
      </c>
      <c r="B7" s="48">
        <v>800</v>
      </c>
      <c r="C7" s="48">
        <v>500</v>
      </c>
      <c r="D7" s="48">
        <v>1000</v>
      </c>
      <c r="E7" s="48">
        <v>400</v>
      </c>
      <c r="F7" s="50">
        <f t="shared" si="0"/>
        <v>1400</v>
      </c>
    </row>
    <row r="8" spans="1:6" x14ac:dyDescent="0.45">
      <c r="A8" s="12" t="s">
        <v>207</v>
      </c>
      <c r="B8" s="48"/>
      <c r="C8" s="48"/>
      <c r="D8" s="48"/>
      <c r="E8" s="48"/>
      <c r="F8" s="50">
        <f>SUBTOTAL(109,Venditori_Stipendi[STIPENDIO])</f>
        <v>7200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8A7E-7F4D-4544-A7EF-7CBEBEBE944B}">
  <dimension ref="A1:D8"/>
  <sheetViews>
    <sheetView workbookViewId="0">
      <selection activeCell="D16" sqref="D16"/>
    </sheetView>
  </sheetViews>
  <sheetFormatPr defaultRowHeight="14.25" x14ac:dyDescent="0.45"/>
  <cols>
    <col min="1" max="1" width="16.73046875" bestFit="1" customWidth="1"/>
    <col min="2" max="3" width="14.73046875" bestFit="1" customWidth="1"/>
    <col min="4" max="4" width="15.1328125" bestFit="1" customWidth="1"/>
  </cols>
  <sheetData>
    <row r="1" spans="1:4" x14ac:dyDescent="0.45">
      <c r="A1" s="25" t="s">
        <v>13</v>
      </c>
      <c r="B1" s="37" t="s">
        <v>35</v>
      </c>
      <c r="C1" s="37" t="s">
        <v>36</v>
      </c>
      <c r="D1" s="24" t="s">
        <v>37</v>
      </c>
    </row>
    <row r="2" spans="1:4" x14ac:dyDescent="0.45">
      <c r="A2" s="9" t="s">
        <v>38</v>
      </c>
      <c r="B2" s="47">
        <v>400</v>
      </c>
      <c r="C2" s="47">
        <v>500</v>
      </c>
      <c r="D2" s="36" t="str">
        <f>IF(C2=B2,"INVARIATO",IF(C2&gt;B2,"AUMENTATO","DIMINUITO"))</f>
        <v>AUMENTATO</v>
      </c>
    </row>
    <row r="3" spans="1:4" x14ac:dyDescent="0.45">
      <c r="A3" s="9" t="s">
        <v>39</v>
      </c>
      <c r="B3" s="47">
        <v>80</v>
      </c>
      <c r="C3" s="47">
        <v>70</v>
      </c>
      <c r="D3" s="36" t="str">
        <f t="shared" ref="D3:D8" si="0">IF(C3=B3,"INVARIATO",IF(C3&gt;B3,"AUMENTATO","DIMINUITO"))</f>
        <v>DIMINUITO</v>
      </c>
    </row>
    <row r="4" spans="1:4" x14ac:dyDescent="0.45">
      <c r="A4" s="9" t="s">
        <v>40</v>
      </c>
      <c r="B4" s="47">
        <v>120</v>
      </c>
      <c r="C4" s="47">
        <v>120</v>
      </c>
      <c r="D4" s="36" t="str">
        <f t="shared" si="0"/>
        <v>INVARIATO</v>
      </c>
    </row>
    <row r="5" spans="1:4" x14ac:dyDescent="0.45">
      <c r="A5" s="9" t="s">
        <v>41</v>
      </c>
      <c r="B5" s="47">
        <v>40</v>
      </c>
      <c r="C5" s="47">
        <v>55</v>
      </c>
      <c r="D5" s="36" t="str">
        <f t="shared" si="0"/>
        <v>AUMENTATO</v>
      </c>
    </row>
    <row r="6" spans="1:4" x14ac:dyDescent="0.45">
      <c r="A6" s="9" t="s">
        <v>42</v>
      </c>
      <c r="B6" s="47">
        <v>500</v>
      </c>
      <c r="C6" s="47">
        <v>450</v>
      </c>
      <c r="D6" s="36" t="str">
        <f t="shared" si="0"/>
        <v>DIMINUITO</v>
      </c>
    </row>
    <row r="7" spans="1:4" x14ac:dyDescent="0.45">
      <c r="A7" s="9" t="s">
        <v>43</v>
      </c>
      <c r="B7" s="47">
        <v>60</v>
      </c>
      <c r="C7" s="47">
        <v>60</v>
      </c>
      <c r="D7" s="36" t="str">
        <f t="shared" si="0"/>
        <v>INVARIATO</v>
      </c>
    </row>
    <row r="8" spans="1:4" x14ac:dyDescent="0.45">
      <c r="A8" s="12" t="s">
        <v>44</v>
      </c>
      <c r="B8" s="48">
        <v>40</v>
      </c>
      <c r="C8" s="48">
        <v>50</v>
      </c>
      <c r="D8" s="23" t="str">
        <f t="shared" si="0"/>
        <v>AUMENTATO</v>
      </c>
    </row>
  </sheetData>
  <conditionalFormatting sqref="D2:D8">
    <cfRule type="containsText" dxfId="2" priority="1" operator="containsText" text="AUMENTATO">
      <formula>NOT(ISERROR(SEARCH("AUMENTATO",D2)))</formula>
    </cfRule>
    <cfRule type="containsText" dxfId="1" priority="2" operator="containsText" text="DIMINUITO">
      <formula>NOT(ISERROR(SEARCH("DIMINUITO",D2)))</formula>
    </cfRule>
    <cfRule type="containsText" dxfId="0" priority="3" operator="containsText" text="INVARIATO">
      <formula>NOT(ISERROR(SEARCH("INVARIATO",D2)))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D984A-6B54-4C63-82B2-AF2D155ABECD}">
  <dimension ref="A1:D11"/>
  <sheetViews>
    <sheetView workbookViewId="0">
      <selection activeCell="C17" sqref="C17"/>
    </sheetView>
  </sheetViews>
  <sheetFormatPr defaultRowHeight="14.25" x14ac:dyDescent="0.45"/>
  <cols>
    <col min="1" max="1" width="16.1328125" bestFit="1" customWidth="1"/>
    <col min="2" max="2" width="10.265625" bestFit="1" customWidth="1"/>
    <col min="3" max="3" width="14.265625" bestFit="1" customWidth="1"/>
    <col min="4" max="4" width="13.3984375" bestFit="1" customWidth="1"/>
  </cols>
  <sheetData>
    <row r="1" spans="1:4" x14ac:dyDescent="0.45">
      <c r="A1" s="38" t="s">
        <v>23</v>
      </c>
      <c r="B1" s="39" t="s">
        <v>45</v>
      </c>
      <c r="C1" s="39" t="s">
        <v>46</v>
      </c>
      <c r="D1" s="40" t="s">
        <v>47</v>
      </c>
    </row>
    <row r="2" spans="1:4" x14ac:dyDescent="0.45">
      <c r="A2" s="9" t="s">
        <v>48</v>
      </c>
      <c r="B2" s="3" t="s">
        <v>49</v>
      </c>
      <c r="C2" s="3">
        <v>75</v>
      </c>
      <c r="D2" s="49">
        <v>49000</v>
      </c>
    </row>
    <row r="3" spans="1:4" x14ac:dyDescent="0.45">
      <c r="A3" s="9" t="s">
        <v>50</v>
      </c>
      <c r="B3" s="3" t="s">
        <v>49</v>
      </c>
      <c r="C3" s="3">
        <v>24</v>
      </c>
      <c r="D3" s="49">
        <v>77000</v>
      </c>
    </row>
    <row r="4" spans="1:4" x14ac:dyDescent="0.45">
      <c r="A4" s="9" t="s">
        <v>51</v>
      </c>
      <c r="B4" s="3" t="s">
        <v>52</v>
      </c>
      <c r="C4" s="3">
        <v>97</v>
      </c>
      <c r="D4" s="49">
        <v>41000</v>
      </c>
    </row>
    <row r="5" spans="1:4" x14ac:dyDescent="0.45">
      <c r="A5" s="9" t="s">
        <v>53</v>
      </c>
      <c r="B5" s="3" t="s">
        <v>54</v>
      </c>
      <c r="C5" s="3">
        <v>63</v>
      </c>
      <c r="D5" s="49">
        <v>59000</v>
      </c>
    </row>
    <row r="6" spans="1:4" x14ac:dyDescent="0.45">
      <c r="A6" s="9" t="s">
        <v>55</v>
      </c>
      <c r="B6" s="3" t="s">
        <v>54</v>
      </c>
      <c r="C6" s="3">
        <v>89</v>
      </c>
      <c r="D6" s="49">
        <v>69000</v>
      </c>
    </row>
    <row r="7" spans="1:4" x14ac:dyDescent="0.45">
      <c r="A7" s="9" t="s">
        <v>56</v>
      </c>
      <c r="B7" s="3" t="s">
        <v>57</v>
      </c>
      <c r="C7" s="3">
        <v>50</v>
      </c>
      <c r="D7" s="49">
        <v>76000</v>
      </c>
    </row>
    <row r="8" spans="1:4" x14ac:dyDescent="0.45">
      <c r="A8" s="9" t="s">
        <v>58</v>
      </c>
      <c r="B8" s="3" t="s">
        <v>57</v>
      </c>
      <c r="C8" s="3">
        <v>49</v>
      </c>
      <c r="D8" s="49">
        <v>43000</v>
      </c>
    </row>
    <row r="9" spans="1:4" x14ac:dyDescent="0.45">
      <c r="A9" s="9" t="s">
        <v>59</v>
      </c>
      <c r="B9" s="3" t="s">
        <v>57</v>
      </c>
      <c r="C9" s="3">
        <v>80</v>
      </c>
      <c r="D9" s="49">
        <v>65000</v>
      </c>
    </row>
    <row r="10" spans="1:4" x14ac:dyDescent="0.45">
      <c r="A10" s="12" t="s">
        <v>60</v>
      </c>
      <c r="B10" s="32" t="s">
        <v>57</v>
      </c>
      <c r="C10" s="32">
        <v>86</v>
      </c>
      <c r="D10" s="50">
        <v>68000</v>
      </c>
    </row>
    <row r="11" spans="1:4" x14ac:dyDescent="0.45">
      <c r="A11" s="12" t="s">
        <v>207</v>
      </c>
      <c r="B11" s="32"/>
      <c r="C11" s="32"/>
      <c r="D11" s="50">
        <f>SUBTOTAL(109,Vendite_per_Area[VENDITE])</f>
        <v>547000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D3886-8CDB-4524-8C24-BCD971E640A8}">
  <dimension ref="A1:D11"/>
  <sheetViews>
    <sheetView workbookViewId="0">
      <selection activeCell="D16" sqref="D16"/>
    </sheetView>
  </sheetViews>
  <sheetFormatPr defaultRowHeight="14.25" x14ac:dyDescent="0.45"/>
  <cols>
    <col min="1" max="1" width="16.1328125" bestFit="1" customWidth="1"/>
    <col min="2" max="2" width="10.265625" bestFit="1" customWidth="1"/>
    <col min="3" max="3" width="14.265625" bestFit="1" customWidth="1"/>
    <col min="4" max="4" width="13.3984375" bestFit="1" customWidth="1"/>
  </cols>
  <sheetData>
    <row r="1" spans="1:4" x14ac:dyDescent="0.45">
      <c r="A1" s="38" t="s">
        <v>23</v>
      </c>
      <c r="B1" s="39" t="s">
        <v>45</v>
      </c>
      <c r="C1" s="39" t="s">
        <v>46</v>
      </c>
      <c r="D1" s="40" t="s">
        <v>47</v>
      </c>
    </row>
    <row r="2" spans="1:4" x14ac:dyDescent="0.45">
      <c r="A2" s="9" t="s">
        <v>48</v>
      </c>
      <c r="B2" s="3" t="s">
        <v>49</v>
      </c>
      <c r="C2" s="3">
        <v>75</v>
      </c>
      <c r="D2" s="49">
        <v>49000</v>
      </c>
    </row>
    <row r="3" spans="1:4" x14ac:dyDescent="0.45">
      <c r="A3" s="9" t="s">
        <v>50</v>
      </c>
      <c r="B3" s="3" t="s">
        <v>49</v>
      </c>
      <c r="C3" s="3">
        <v>24</v>
      </c>
      <c r="D3" s="49">
        <v>77000</v>
      </c>
    </row>
    <row r="4" spans="1:4" x14ac:dyDescent="0.45">
      <c r="A4" s="9" t="s">
        <v>51</v>
      </c>
      <c r="B4" s="3" t="s">
        <v>52</v>
      </c>
      <c r="C4" s="3">
        <v>97</v>
      </c>
      <c r="D4" s="49">
        <v>41000</v>
      </c>
    </row>
    <row r="5" spans="1:4" x14ac:dyDescent="0.45">
      <c r="A5" s="9" t="s">
        <v>53</v>
      </c>
      <c r="B5" s="3" t="s">
        <v>54</v>
      </c>
      <c r="C5" s="3">
        <v>63</v>
      </c>
      <c r="D5" s="49">
        <v>59000</v>
      </c>
    </row>
    <row r="6" spans="1:4" x14ac:dyDescent="0.45">
      <c r="A6" s="9" t="s">
        <v>55</v>
      </c>
      <c r="B6" s="3" t="s">
        <v>54</v>
      </c>
      <c r="C6" s="3">
        <v>89</v>
      </c>
      <c r="D6" s="49">
        <v>69000</v>
      </c>
    </row>
    <row r="7" spans="1:4" x14ac:dyDescent="0.45">
      <c r="A7" s="9" t="s">
        <v>56</v>
      </c>
      <c r="B7" s="3" t="s">
        <v>57</v>
      </c>
      <c r="C7" s="3">
        <v>50</v>
      </c>
      <c r="D7" s="49">
        <v>76000</v>
      </c>
    </row>
    <row r="8" spans="1:4" x14ac:dyDescent="0.45">
      <c r="A8" s="9" t="s">
        <v>58</v>
      </c>
      <c r="B8" s="3" t="s">
        <v>57</v>
      </c>
      <c r="C8" s="3">
        <v>49</v>
      </c>
      <c r="D8" s="49">
        <v>43000</v>
      </c>
    </row>
    <row r="9" spans="1:4" x14ac:dyDescent="0.45">
      <c r="A9" s="9" t="s">
        <v>59</v>
      </c>
      <c r="B9" s="3" t="s">
        <v>57</v>
      </c>
      <c r="C9" s="3">
        <v>80</v>
      </c>
      <c r="D9" s="49">
        <v>65000</v>
      </c>
    </row>
    <row r="10" spans="1:4" x14ac:dyDescent="0.45">
      <c r="A10" s="12" t="s">
        <v>60</v>
      </c>
      <c r="B10" s="32" t="s">
        <v>57</v>
      </c>
      <c r="C10" s="32">
        <v>86</v>
      </c>
      <c r="D10" s="50">
        <v>68000</v>
      </c>
    </row>
    <row r="11" spans="1:4" x14ac:dyDescent="0.45">
      <c r="A11" s="12" t="s">
        <v>207</v>
      </c>
      <c r="B11" s="32"/>
      <c r="C11" s="32"/>
      <c r="D11" s="50">
        <f>SUBTOTAL(109,Vendite_per_Area_2[VENDITE])</f>
        <v>547000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9728F-44BF-46FA-B4B6-9F80D866DF40}">
  <dimension ref="A1:I19"/>
  <sheetViews>
    <sheetView tabSelected="1" workbookViewId="0">
      <selection activeCell="I19" sqref="I19"/>
    </sheetView>
  </sheetViews>
  <sheetFormatPr defaultRowHeight="14.25" x14ac:dyDescent="0.45"/>
  <cols>
    <col min="1" max="1" width="24.59765625" bestFit="1" customWidth="1"/>
    <col min="2" max="2" width="19.86328125" bestFit="1" customWidth="1"/>
    <col min="3" max="3" width="21.3984375" bestFit="1" customWidth="1"/>
    <col min="4" max="4" width="24" bestFit="1" customWidth="1"/>
    <col min="5" max="5" width="24.59765625" bestFit="1" customWidth="1"/>
  </cols>
  <sheetData>
    <row r="1" spans="1:5" x14ac:dyDescent="0.45">
      <c r="A1" s="16" t="s">
        <v>61</v>
      </c>
      <c r="B1" s="16" t="s">
        <v>62</v>
      </c>
      <c r="C1" s="16" t="s">
        <v>63</v>
      </c>
      <c r="D1" s="16" t="s">
        <v>64</v>
      </c>
      <c r="E1" s="16" t="s">
        <v>65</v>
      </c>
    </row>
    <row r="2" spans="1:5" x14ac:dyDescent="0.45">
      <c r="A2" t="s">
        <v>66</v>
      </c>
      <c r="B2" t="str">
        <f t="shared" ref="B2:B14" si="0">LEFT(A2,6)</f>
        <v>PLL-03</v>
      </c>
      <c r="C2" t="str">
        <f>RIGHT(A2,17)</f>
        <v>PALLE DA BASEBALL</v>
      </c>
      <c r="D2" t="str">
        <f>MID(A2,4,3)</f>
        <v>-03</v>
      </c>
      <c r="E2" t="str">
        <f>_xlfn.CONCAT(B2," ",C2)</f>
        <v>PLL-03 PALLE DA BASEBALL</v>
      </c>
    </row>
    <row r="3" spans="1:5" x14ac:dyDescent="0.45">
      <c r="A3" t="s">
        <v>67</v>
      </c>
      <c r="B3" t="str">
        <f t="shared" si="0"/>
        <v>PLL-04</v>
      </c>
      <c r="C3" t="str">
        <f t="shared" ref="C3:C14" si="1">RIGHT(A3,17)</f>
        <v>PALLONI DA CALCIO</v>
      </c>
      <c r="D3" t="str">
        <f t="shared" ref="D3:D14" si="2">MID(A3,4,3)</f>
        <v>-04</v>
      </c>
      <c r="E3" t="str">
        <f t="shared" ref="E3:E14" si="3">_xlfn.CONCAT(B3," ",C3)</f>
        <v>PLL-04 PALLONI DA CALCIO</v>
      </c>
    </row>
    <row r="4" spans="1:5" x14ac:dyDescent="0.45">
      <c r="A4" t="s">
        <v>68</v>
      </c>
      <c r="B4" t="str">
        <f t="shared" si="0"/>
        <v>ATT-03</v>
      </c>
      <c r="C4" t="str">
        <f>RIGHT(A4,4)</f>
        <v>STEP</v>
      </c>
      <c r="D4" t="str">
        <f t="shared" si="2"/>
        <v>-03</v>
      </c>
      <c r="E4" t="str">
        <f t="shared" si="3"/>
        <v>ATT-03 STEP</v>
      </c>
    </row>
    <row r="5" spans="1:5" x14ac:dyDescent="0.45">
      <c r="A5" t="s">
        <v>69</v>
      </c>
      <c r="B5" t="str">
        <f t="shared" si="0"/>
        <v>PLL-05</v>
      </c>
      <c r="C5" t="str">
        <f>RIGHT(A5,15)</f>
        <v>PALLE DA TENNIS</v>
      </c>
      <c r="D5" t="str">
        <f t="shared" si="2"/>
        <v>-05</v>
      </c>
      <c r="E5" t="str">
        <f t="shared" si="3"/>
        <v>PLL-05 PALLE DA TENNIS</v>
      </c>
    </row>
    <row r="6" spans="1:5" x14ac:dyDescent="0.45">
      <c r="A6" t="s">
        <v>70</v>
      </c>
      <c r="B6" t="str">
        <f t="shared" si="0"/>
        <v>ATT-02</v>
      </c>
      <c r="C6" t="str">
        <f>RIGHT(A6,9)</f>
        <v>CYCLETTES</v>
      </c>
      <c r="D6" t="str">
        <f t="shared" si="2"/>
        <v>-02</v>
      </c>
      <c r="E6" t="str">
        <f t="shared" si="3"/>
        <v>ATT-02 CYCLETTES</v>
      </c>
    </row>
    <row r="7" spans="1:5" x14ac:dyDescent="0.45">
      <c r="A7" t="s">
        <v>68</v>
      </c>
      <c r="B7" t="str">
        <f t="shared" si="0"/>
        <v>ATT-03</v>
      </c>
      <c r="C7" t="str">
        <f>RIGHT(A7,4)</f>
        <v>STEP</v>
      </c>
      <c r="D7" t="str">
        <f t="shared" si="2"/>
        <v>-03</v>
      </c>
      <c r="E7" t="str">
        <f t="shared" si="3"/>
        <v>ATT-03 STEP</v>
      </c>
    </row>
    <row r="8" spans="1:5" x14ac:dyDescent="0.45">
      <c r="A8" t="s">
        <v>69</v>
      </c>
      <c r="B8" t="str">
        <f t="shared" si="0"/>
        <v>PLL-05</v>
      </c>
      <c r="C8" t="str">
        <f>RIGHT(A8,15)</f>
        <v>PALLE DA TENNIS</v>
      </c>
      <c r="D8" t="str">
        <f t="shared" si="2"/>
        <v>-05</v>
      </c>
      <c r="E8" t="str">
        <f t="shared" si="3"/>
        <v>PLL-05 PALLE DA TENNIS</v>
      </c>
    </row>
    <row r="9" spans="1:5" x14ac:dyDescent="0.45">
      <c r="A9" t="s">
        <v>66</v>
      </c>
      <c r="B9" t="str">
        <f t="shared" si="0"/>
        <v>PLL-03</v>
      </c>
      <c r="C9" t="str">
        <f t="shared" si="1"/>
        <v>PALLE DA BASEBALL</v>
      </c>
      <c r="D9" t="str">
        <f t="shared" si="2"/>
        <v>-03</v>
      </c>
      <c r="E9" t="str">
        <f t="shared" si="3"/>
        <v>PLL-03 PALLE DA BASEBALL</v>
      </c>
    </row>
    <row r="10" spans="1:5" x14ac:dyDescent="0.45">
      <c r="A10" t="s">
        <v>71</v>
      </c>
      <c r="B10" t="str">
        <f t="shared" si="0"/>
        <v>PLL-01</v>
      </c>
      <c r="C10" t="str">
        <f>RIGHT(A10,13)</f>
        <v>PALLE DA GOLF</v>
      </c>
      <c r="D10" t="str">
        <f t="shared" si="2"/>
        <v>-01</v>
      </c>
      <c r="E10" t="str">
        <f t="shared" si="3"/>
        <v>PLL-01 PALLE DA GOLF</v>
      </c>
    </row>
    <row r="11" spans="1:5" x14ac:dyDescent="0.45">
      <c r="A11" t="s">
        <v>70</v>
      </c>
      <c r="B11" t="str">
        <f t="shared" si="0"/>
        <v>ATT-02</v>
      </c>
      <c r="C11" t="str">
        <f>RIGHT(A11,9)</f>
        <v>CYCLETTES</v>
      </c>
      <c r="D11" t="str">
        <f t="shared" si="2"/>
        <v>-02</v>
      </c>
      <c r="E11" t="str">
        <f t="shared" si="3"/>
        <v>ATT-02 CYCLETTES</v>
      </c>
    </row>
    <row r="12" spans="1:5" x14ac:dyDescent="0.45">
      <c r="A12" t="s">
        <v>71</v>
      </c>
      <c r="B12" t="str">
        <f t="shared" si="0"/>
        <v>PLL-01</v>
      </c>
      <c r="C12" t="str">
        <f>RIGHT(A12,13)</f>
        <v>PALLE DA GOLF</v>
      </c>
      <c r="D12" t="str">
        <f t="shared" si="2"/>
        <v>-01</v>
      </c>
      <c r="E12" t="str">
        <f t="shared" si="3"/>
        <v>PLL-01 PALLE DA GOLF</v>
      </c>
    </row>
    <row r="13" spans="1:5" x14ac:dyDescent="0.45">
      <c r="A13" t="s">
        <v>67</v>
      </c>
      <c r="B13" t="str">
        <f t="shared" si="0"/>
        <v>PLL-04</v>
      </c>
      <c r="C13" t="str">
        <f>RIGHT(A13,17)</f>
        <v>PALLONI DA CALCIO</v>
      </c>
      <c r="D13" t="str">
        <f t="shared" si="2"/>
        <v>-04</v>
      </c>
      <c r="E13" t="str">
        <f t="shared" si="3"/>
        <v>PLL-04 PALLONI DA CALCIO</v>
      </c>
    </row>
    <row r="14" spans="1:5" x14ac:dyDescent="0.45">
      <c r="A14" t="s">
        <v>72</v>
      </c>
      <c r="B14" t="str">
        <f t="shared" si="0"/>
        <v>PLL-02</v>
      </c>
      <c r="C14" t="str">
        <f t="shared" si="1"/>
        <v>PALLONI DA BASKET</v>
      </c>
      <c r="D14" t="str">
        <f t="shared" si="2"/>
        <v>-02</v>
      </c>
      <c r="E14" t="str">
        <f t="shared" si="3"/>
        <v>PLL-02 PALLONI DA BASKET</v>
      </c>
    </row>
    <row r="19" spans="9:9" x14ac:dyDescent="0.45">
      <c r="I19" s="51"/>
    </row>
  </sheetData>
  <pageMargins left="0.7" right="0.7" top="0.75" bottom="0.75" header="0.3" footer="0.3"/>
  <pageSetup paperSize="9" orientation="portrait" r:id="rId1"/>
  <drawing r:id="rId2"/>
  <legacyDrawing r:id="rId3"/>
  <tableParts count="1"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6C5A6-F577-4EE8-83CC-8B549AB5787F}">
  <dimension ref="A1:G16"/>
  <sheetViews>
    <sheetView workbookViewId="0">
      <selection activeCell="D16" sqref="D16"/>
    </sheetView>
  </sheetViews>
  <sheetFormatPr defaultRowHeight="14.25" x14ac:dyDescent="0.45"/>
  <cols>
    <col min="1" max="1" width="11.1328125" bestFit="1" customWidth="1"/>
    <col min="2" max="2" width="15.3984375" bestFit="1" customWidth="1"/>
    <col min="3" max="3" width="20.73046875" bestFit="1" customWidth="1"/>
    <col min="4" max="4" width="11.1328125" bestFit="1" customWidth="1"/>
    <col min="5" max="5" width="9.265625" bestFit="1" customWidth="1"/>
    <col min="6" max="6" width="16.86328125" bestFit="1" customWidth="1"/>
    <col min="7" max="7" width="22.73046875" bestFit="1" customWidth="1"/>
  </cols>
  <sheetData>
    <row r="1" spans="1:7" x14ac:dyDescent="0.45">
      <c r="A1" s="41" t="s">
        <v>73</v>
      </c>
      <c r="B1" s="42" t="s">
        <v>74</v>
      </c>
      <c r="C1" s="42" t="s">
        <v>75</v>
      </c>
      <c r="D1" s="42" t="s">
        <v>76</v>
      </c>
      <c r="E1" s="43" t="s">
        <v>77</v>
      </c>
      <c r="F1" s="44" t="s">
        <v>28</v>
      </c>
      <c r="G1" s="42" t="s">
        <v>78</v>
      </c>
    </row>
    <row r="2" spans="1:7" x14ac:dyDescent="0.45">
      <c r="A2" s="9" t="s">
        <v>79</v>
      </c>
      <c r="B2" s="3" t="s">
        <v>32</v>
      </c>
      <c r="C2" s="3" t="s">
        <v>80</v>
      </c>
      <c r="D2" s="3" t="s">
        <v>81</v>
      </c>
      <c r="E2" s="17" t="s">
        <v>82</v>
      </c>
      <c r="F2" s="47">
        <v>1200</v>
      </c>
      <c r="G2" s="10">
        <v>45995</v>
      </c>
    </row>
    <row r="3" spans="1:7" x14ac:dyDescent="0.45">
      <c r="A3" s="9" t="s">
        <v>83</v>
      </c>
      <c r="B3" s="3" t="s">
        <v>29</v>
      </c>
      <c r="C3" s="3" t="s">
        <v>84</v>
      </c>
      <c r="D3" s="3" t="s">
        <v>85</v>
      </c>
      <c r="E3" s="17" t="s">
        <v>86</v>
      </c>
      <c r="F3" s="47">
        <v>1500</v>
      </c>
      <c r="G3" s="10">
        <v>45455</v>
      </c>
    </row>
    <row r="4" spans="1:7" x14ac:dyDescent="0.45">
      <c r="A4" s="9" t="s">
        <v>87</v>
      </c>
      <c r="B4" s="3" t="s">
        <v>30</v>
      </c>
      <c r="C4" s="3" t="s">
        <v>88</v>
      </c>
      <c r="D4" s="3" t="s">
        <v>85</v>
      </c>
      <c r="E4" s="17" t="s">
        <v>89</v>
      </c>
      <c r="F4" s="47">
        <v>900</v>
      </c>
      <c r="G4" s="10">
        <v>46139</v>
      </c>
    </row>
    <row r="5" spans="1:7" x14ac:dyDescent="0.45">
      <c r="A5" s="9" t="s">
        <v>90</v>
      </c>
      <c r="B5" s="3" t="s">
        <v>33</v>
      </c>
      <c r="C5" s="3" t="s">
        <v>91</v>
      </c>
      <c r="D5" s="3" t="s">
        <v>92</v>
      </c>
      <c r="E5" s="17" t="s">
        <v>93</v>
      </c>
      <c r="F5" s="47">
        <v>1000</v>
      </c>
      <c r="G5" s="10">
        <v>46031</v>
      </c>
    </row>
    <row r="6" spans="1:7" x14ac:dyDescent="0.45">
      <c r="A6" s="9" t="s">
        <v>94</v>
      </c>
      <c r="B6" s="3" t="s">
        <v>29</v>
      </c>
      <c r="C6" s="3" t="s">
        <v>95</v>
      </c>
      <c r="D6" s="3" t="s">
        <v>96</v>
      </c>
      <c r="E6" s="17" t="s">
        <v>97</v>
      </c>
      <c r="F6" s="47">
        <v>1000</v>
      </c>
      <c r="G6" s="10">
        <v>46024</v>
      </c>
    </row>
    <row r="7" spans="1:7" x14ac:dyDescent="0.45">
      <c r="A7" s="9" t="s">
        <v>98</v>
      </c>
      <c r="B7" s="3" t="s">
        <v>31</v>
      </c>
      <c r="C7" s="3" t="s">
        <v>99</v>
      </c>
      <c r="D7" s="3" t="s">
        <v>96</v>
      </c>
      <c r="E7" s="17" t="s">
        <v>100</v>
      </c>
      <c r="F7" s="47">
        <v>1500</v>
      </c>
      <c r="G7" s="10">
        <v>45384</v>
      </c>
    </row>
    <row r="8" spans="1:7" x14ac:dyDescent="0.45">
      <c r="A8" s="9" t="s">
        <v>101</v>
      </c>
      <c r="B8" s="3" t="s">
        <v>33</v>
      </c>
      <c r="C8" s="3" t="s">
        <v>102</v>
      </c>
      <c r="D8" s="3" t="s">
        <v>96</v>
      </c>
      <c r="E8" s="17" t="s">
        <v>103</v>
      </c>
      <c r="F8" s="47">
        <v>1900</v>
      </c>
      <c r="G8" s="10">
        <v>45058</v>
      </c>
    </row>
    <row r="9" spans="1:7" x14ac:dyDescent="0.45">
      <c r="A9" s="9" t="s">
        <v>104</v>
      </c>
      <c r="B9" s="3" t="s">
        <v>105</v>
      </c>
      <c r="C9" s="3" t="s">
        <v>106</v>
      </c>
      <c r="D9" s="3" t="s">
        <v>107</v>
      </c>
      <c r="E9" s="17" t="s">
        <v>108</v>
      </c>
      <c r="F9" s="47">
        <v>1500</v>
      </c>
      <c r="G9" s="10">
        <v>45445</v>
      </c>
    </row>
    <row r="10" spans="1:7" x14ac:dyDescent="0.45">
      <c r="A10" s="9" t="s">
        <v>109</v>
      </c>
      <c r="B10" s="3" t="s">
        <v>110</v>
      </c>
      <c r="C10" s="3" t="s">
        <v>111</v>
      </c>
      <c r="D10" s="3" t="s">
        <v>112</v>
      </c>
      <c r="E10" s="17" t="s">
        <v>113</v>
      </c>
      <c r="F10" s="47">
        <v>2100</v>
      </c>
      <c r="G10" s="10">
        <v>44604</v>
      </c>
    </row>
    <row r="11" spans="1:7" x14ac:dyDescent="0.45">
      <c r="A11" s="9" t="s">
        <v>114</v>
      </c>
      <c r="B11" s="3" t="s">
        <v>115</v>
      </c>
      <c r="C11" s="3" t="s">
        <v>116</v>
      </c>
      <c r="D11" s="3" t="s">
        <v>117</v>
      </c>
      <c r="E11" s="17" t="s">
        <v>118</v>
      </c>
      <c r="F11" s="47">
        <v>1900</v>
      </c>
      <c r="G11" s="18">
        <v>44997</v>
      </c>
    </row>
    <row r="12" spans="1:7" x14ac:dyDescent="0.45">
      <c r="A12" s="12" t="s">
        <v>48</v>
      </c>
      <c r="B12" s="32" t="s">
        <v>119</v>
      </c>
      <c r="C12" s="32" t="s">
        <v>120</v>
      </c>
      <c r="D12" s="32" t="s">
        <v>107</v>
      </c>
      <c r="E12" s="45" t="s">
        <v>108</v>
      </c>
      <c r="F12" s="48">
        <v>980</v>
      </c>
      <c r="G12" s="13">
        <v>46028</v>
      </c>
    </row>
    <row r="13" spans="1:7" x14ac:dyDescent="0.45">
      <c r="A13" s="12" t="s">
        <v>207</v>
      </c>
      <c r="B13" s="32"/>
      <c r="C13" s="32"/>
      <c r="D13" s="32"/>
      <c r="E13" s="32"/>
      <c r="F13" s="48"/>
      <c r="G13" s="23">
        <f>SUBTOTAL(103,Dipendenti[DATA ASSUNZIONE])</f>
        <v>11</v>
      </c>
    </row>
    <row r="16" spans="1:7" x14ac:dyDescent="0.45">
      <c r="D16" s="51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4CE2B-E7CD-4309-AB1B-20AC490DF5DC}">
  <dimension ref="A1:F24"/>
  <sheetViews>
    <sheetView workbookViewId="0">
      <selection activeCell="F24" sqref="F24"/>
    </sheetView>
  </sheetViews>
  <sheetFormatPr defaultRowHeight="14.25" x14ac:dyDescent="0.45"/>
  <cols>
    <col min="1" max="1" width="13.86328125" bestFit="1" customWidth="1"/>
    <col min="2" max="2" width="8.265625" bestFit="1" customWidth="1"/>
    <col min="3" max="3" width="15" bestFit="1" customWidth="1"/>
    <col min="4" max="4" width="12.265625" bestFit="1" customWidth="1"/>
    <col min="5" max="5" width="10.3984375" bestFit="1" customWidth="1"/>
    <col min="6" max="6" width="14.1328125" bestFit="1" customWidth="1"/>
  </cols>
  <sheetData>
    <row r="1" spans="1:6" x14ac:dyDescent="0.45">
      <c r="A1" t="s">
        <v>23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</row>
    <row r="2" spans="1:6" x14ac:dyDescent="0.45">
      <c r="A2" t="s">
        <v>126</v>
      </c>
      <c r="B2" t="s">
        <v>127</v>
      </c>
      <c r="C2" t="s">
        <v>128</v>
      </c>
      <c r="D2">
        <v>18</v>
      </c>
      <c r="E2" s="19">
        <v>46091</v>
      </c>
      <c r="F2" s="46">
        <v>1980</v>
      </c>
    </row>
    <row r="3" spans="1:6" x14ac:dyDescent="0.45">
      <c r="A3" t="s">
        <v>129</v>
      </c>
      <c r="B3" t="s">
        <v>130</v>
      </c>
      <c r="C3" t="s">
        <v>131</v>
      </c>
      <c r="D3">
        <v>14</v>
      </c>
      <c r="E3" s="19">
        <v>46075</v>
      </c>
      <c r="F3" s="46">
        <v>1820</v>
      </c>
    </row>
    <row r="4" spans="1:6" x14ac:dyDescent="0.45">
      <c r="A4" t="s">
        <v>132</v>
      </c>
      <c r="B4" t="s">
        <v>133</v>
      </c>
      <c r="C4" t="s">
        <v>134</v>
      </c>
      <c r="D4">
        <v>12</v>
      </c>
      <c r="E4" s="19">
        <v>46034</v>
      </c>
      <c r="F4" s="46">
        <v>9480</v>
      </c>
    </row>
    <row r="5" spans="1:6" x14ac:dyDescent="0.45">
      <c r="A5" t="s">
        <v>135</v>
      </c>
      <c r="B5" t="s">
        <v>127</v>
      </c>
      <c r="C5" t="s">
        <v>136</v>
      </c>
      <c r="D5">
        <v>15</v>
      </c>
      <c r="E5" s="19">
        <v>46099</v>
      </c>
      <c r="F5" s="46">
        <v>4350</v>
      </c>
    </row>
    <row r="6" spans="1:6" x14ac:dyDescent="0.45">
      <c r="A6" t="s">
        <v>137</v>
      </c>
      <c r="B6" t="s">
        <v>133</v>
      </c>
      <c r="C6" t="s">
        <v>138</v>
      </c>
      <c r="D6">
        <v>25</v>
      </c>
      <c r="E6" s="19">
        <v>46052</v>
      </c>
      <c r="F6" s="46">
        <v>875</v>
      </c>
    </row>
    <row r="7" spans="1:6" x14ac:dyDescent="0.45">
      <c r="A7" t="s">
        <v>139</v>
      </c>
      <c r="B7" t="s">
        <v>130</v>
      </c>
      <c r="C7" t="s">
        <v>140</v>
      </c>
      <c r="D7">
        <v>9</v>
      </c>
      <c r="E7" s="19">
        <v>46067</v>
      </c>
      <c r="F7" s="46">
        <v>6750</v>
      </c>
    </row>
    <row r="8" spans="1:6" x14ac:dyDescent="0.45">
      <c r="A8" t="s">
        <v>141</v>
      </c>
      <c r="B8" t="s">
        <v>130</v>
      </c>
      <c r="C8" t="s">
        <v>142</v>
      </c>
      <c r="D8">
        <v>7</v>
      </c>
      <c r="E8" s="19">
        <v>46056</v>
      </c>
      <c r="F8" s="46">
        <v>1540</v>
      </c>
    </row>
    <row r="9" spans="1:6" x14ac:dyDescent="0.45">
      <c r="A9" t="s">
        <v>143</v>
      </c>
      <c r="B9" t="s">
        <v>127</v>
      </c>
      <c r="C9" t="s">
        <v>144</v>
      </c>
      <c r="D9">
        <v>11</v>
      </c>
      <c r="E9" s="19">
        <v>46083</v>
      </c>
      <c r="F9" s="46">
        <v>3960</v>
      </c>
    </row>
    <row r="10" spans="1:6" x14ac:dyDescent="0.45">
      <c r="A10" t="s">
        <v>145</v>
      </c>
      <c r="B10" t="s">
        <v>133</v>
      </c>
      <c r="C10" t="s">
        <v>146</v>
      </c>
      <c r="D10">
        <v>30</v>
      </c>
      <c r="E10" s="19">
        <v>46047</v>
      </c>
      <c r="F10" s="46">
        <v>1200</v>
      </c>
    </row>
    <row r="11" spans="1:6" x14ac:dyDescent="0.45">
      <c r="A11" t="s">
        <v>147</v>
      </c>
      <c r="B11" t="s">
        <v>133</v>
      </c>
      <c r="C11" t="s">
        <v>148</v>
      </c>
      <c r="D11">
        <v>10</v>
      </c>
      <c r="E11" s="19">
        <v>46040</v>
      </c>
      <c r="F11" s="46">
        <v>1500</v>
      </c>
    </row>
    <row r="12" spans="1:6" x14ac:dyDescent="0.45">
      <c r="A12" t="s">
        <v>149</v>
      </c>
      <c r="B12" t="s">
        <v>127</v>
      </c>
      <c r="C12" t="s">
        <v>150</v>
      </c>
      <c r="D12">
        <v>15</v>
      </c>
      <c r="E12" s="19">
        <v>46072</v>
      </c>
      <c r="F12" s="46">
        <v>250</v>
      </c>
    </row>
    <row r="13" spans="1:6" x14ac:dyDescent="0.45">
      <c r="A13" t="s">
        <v>207</v>
      </c>
      <c r="F13" s="46">
        <f>SUBTOTAL(109,Vendite_Dettaglio[IMPORTO(€)])</f>
        <v>33705</v>
      </c>
    </row>
    <row r="24" spans="6:6" x14ac:dyDescent="0.45">
      <c r="F24" s="51"/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961C8-16DE-4465-B820-34EDBB7B5BF8}">
  <dimension ref="A1:F32"/>
  <sheetViews>
    <sheetView workbookViewId="0">
      <selection activeCell="J23" sqref="J23"/>
    </sheetView>
  </sheetViews>
  <sheetFormatPr defaultRowHeight="14.25" x14ac:dyDescent="0.45"/>
  <cols>
    <col min="1" max="1" width="16.1328125" bestFit="1" customWidth="1"/>
    <col min="2" max="2" width="13.86328125" bestFit="1" customWidth="1"/>
    <col min="3" max="3" width="17.86328125" bestFit="1" customWidth="1"/>
  </cols>
  <sheetData>
    <row r="1" spans="1:3" x14ac:dyDescent="0.45">
      <c r="A1" s="20" t="s">
        <v>151</v>
      </c>
      <c r="B1" s="20" t="s">
        <v>152</v>
      </c>
      <c r="C1" s="20" t="s">
        <v>153</v>
      </c>
    </row>
    <row r="2" spans="1:3" x14ac:dyDescent="0.45">
      <c r="A2" t="s">
        <v>154</v>
      </c>
      <c r="B2" t="s">
        <v>155</v>
      </c>
      <c r="C2" s="21">
        <v>136</v>
      </c>
    </row>
    <row r="3" spans="1:3" x14ac:dyDescent="0.45">
      <c r="A3" t="s">
        <v>154</v>
      </c>
      <c r="B3" t="s">
        <v>155</v>
      </c>
      <c r="C3" s="21">
        <v>18</v>
      </c>
    </row>
    <row r="4" spans="1:3" x14ac:dyDescent="0.45">
      <c r="A4" t="s">
        <v>154</v>
      </c>
      <c r="B4" t="s">
        <v>155</v>
      </c>
      <c r="C4" s="21">
        <v>16</v>
      </c>
    </row>
    <row r="5" spans="1:3" x14ac:dyDescent="0.45">
      <c r="A5" t="s">
        <v>154</v>
      </c>
      <c r="B5" t="s">
        <v>156</v>
      </c>
      <c r="C5" s="21">
        <v>850</v>
      </c>
    </row>
    <row r="6" spans="1:3" x14ac:dyDescent="0.45">
      <c r="A6" t="s">
        <v>154</v>
      </c>
      <c r="B6" t="s">
        <v>156</v>
      </c>
      <c r="C6" s="21">
        <v>575</v>
      </c>
    </row>
    <row r="7" spans="1:3" x14ac:dyDescent="0.45">
      <c r="A7" t="s">
        <v>154</v>
      </c>
      <c r="B7" t="s">
        <v>157</v>
      </c>
      <c r="C7" s="21">
        <v>12500</v>
      </c>
    </row>
    <row r="8" spans="1:3" x14ac:dyDescent="0.45">
      <c r="A8" t="s">
        <v>154</v>
      </c>
      <c r="B8" t="s">
        <v>157</v>
      </c>
      <c r="C8" s="21">
        <v>5750</v>
      </c>
    </row>
    <row r="9" spans="1:3" x14ac:dyDescent="0.45">
      <c r="A9" t="s">
        <v>154</v>
      </c>
      <c r="B9" t="s">
        <v>155</v>
      </c>
      <c r="C9" s="21">
        <v>468</v>
      </c>
    </row>
    <row r="10" spans="1:3" x14ac:dyDescent="0.45">
      <c r="A10" t="s">
        <v>158</v>
      </c>
      <c r="B10" t="s">
        <v>156</v>
      </c>
      <c r="C10" s="21">
        <v>57500</v>
      </c>
    </row>
    <row r="11" spans="1:3" x14ac:dyDescent="0.45">
      <c r="A11" t="s">
        <v>158</v>
      </c>
      <c r="B11" t="s">
        <v>156</v>
      </c>
      <c r="C11" s="21">
        <v>13350</v>
      </c>
    </row>
    <row r="12" spans="1:3" x14ac:dyDescent="0.45">
      <c r="A12" t="s">
        <v>158</v>
      </c>
      <c r="B12" t="s">
        <v>155</v>
      </c>
      <c r="C12" s="21">
        <v>774</v>
      </c>
    </row>
    <row r="13" spans="1:3" x14ac:dyDescent="0.45">
      <c r="A13" t="s">
        <v>158</v>
      </c>
      <c r="B13" t="s">
        <v>155</v>
      </c>
      <c r="C13" s="21">
        <v>1268</v>
      </c>
    </row>
    <row r="14" spans="1:3" x14ac:dyDescent="0.45">
      <c r="A14" t="s">
        <v>158</v>
      </c>
      <c r="B14" t="s">
        <v>155</v>
      </c>
      <c r="C14" s="21">
        <v>196</v>
      </c>
    </row>
    <row r="15" spans="1:3" x14ac:dyDescent="0.45">
      <c r="A15" t="s">
        <v>158</v>
      </c>
      <c r="B15" t="s">
        <v>155</v>
      </c>
      <c r="C15" s="21">
        <v>1490</v>
      </c>
    </row>
    <row r="16" spans="1:3" x14ac:dyDescent="0.45">
      <c r="A16" t="s">
        <v>158</v>
      </c>
      <c r="B16" t="s">
        <v>155</v>
      </c>
      <c r="C16" s="21">
        <v>4600</v>
      </c>
    </row>
    <row r="17" spans="1:6" x14ac:dyDescent="0.45">
      <c r="A17" t="s">
        <v>158</v>
      </c>
      <c r="B17" t="s">
        <v>155</v>
      </c>
      <c r="C17" s="21">
        <v>152</v>
      </c>
    </row>
    <row r="18" spans="1:6" x14ac:dyDescent="0.45">
      <c r="A18" t="s">
        <v>158</v>
      </c>
      <c r="B18" t="s">
        <v>157</v>
      </c>
      <c r="C18" s="21">
        <v>1355</v>
      </c>
    </row>
    <row r="19" spans="1:6" x14ac:dyDescent="0.45">
      <c r="A19" t="s">
        <v>159</v>
      </c>
      <c r="B19" t="s">
        <v>160</v>
      </c>
      <c r="C19" s="21">
        <v>28000</v>
      </c>
    </row>
    <row r="20" spans="1:6" x14ac:dyDescent="0.45">
      <c r="A20" t="s">
        <v>159</v>
      </c>
      <c r="B20" t="s">
        <v>160</v>
      </c>
      <c r="C20" s="21">
        <v>6900</v>
      </c>
    </row>
    <row r="21" spans="1:6" x14ac:dyDescent="0.45">
      <c r="A21" t="s">
        <v>159</v>
      </c>
      <c r="B21" t="s">
        <v>160</v>
      </c>
      <c r="C21" s="21">
        <v>1940</v>
      </c>
    </row>
    <row r="22" spans="1:6" x14ac:dyDescent="0.45">
      <c r="A22" t="s">
        <v>159</v>
      </c>
      <c r="B22" t="s">
        <v>155</v>
      </c>
      <c r="C22" s="21">
        <v>166</v>
      </c>
    </row>
    <row r="23" spans="1:6" x14ac:dyDescent="0.45">
      <c r="A23" t="s">
        <v>159</v>
      </c>
      <c r="B23" t="s">
        <v>156</v>
      </c>
      <c r="C23" s="21">
        <v>850</v>
      </c>
    </row>
    <row r="24" spans="1:6" x14ac:dyDescent="0.45">
      <c r="A24" t="s">
        <v>159</v>
      </c>
      <c r="B24" t="s">
        <v>156</v>
      </c>
      <c r="C24" s="21">
        <v>17000</v>
      </c>
      <c r="F24" s="51"/>
    </row>
    <row r="25" spans="1:6" x14ac:dyDescent="0.45">
      <c r="A25" t="s">
        <v>159</v>
      </c>
      <c r="B25" t="s">
        <v>155</v>
      </c>
      <c r="C25" s="21">
        <v>280</v>
      </c>
    </row>
    <row r="26" spans="1:6" x14ac:dyDescent="0.45">
      <c r="A26" t="s">
        <v>159</v>
      </c>
      <c r="B26" t="s">
        <v>155</v>
      </c>
      <c r="C26" s="21">
        <v>7134</v>
      </c>
    </row>
    <row r="27" spans="1:6" x14ac:dyDescent="0.45">
      <c r="A27" t="s">
        <v>159</v>
      </c>
      <c r="B27" t="s">
        <v>155</v>
      </c>
      <c r="C27" s="21">
        <v>15306</v>
      </c>
    </row>
    <row r="28" spans="1:6" x14ac:dyDescent="0.45">
      <c r="A28" t="s">
        <v>159</v>
      </c>
      <c r="B28" t="s">
        <v>155</v>
      </c>
      <c r="C28" s="21">
        <v>17530</v>
      </c>
    </row>
    <row r="29" spans="1:6" x14ac:dyDescent="0.45">
      <c r="A29" t="s">
        <v>159</v>
      </c>
      <c r="B29" t="s">
        <v>155</v>
      </c>
      <c r="C29" s="21">
        <v>8736</v>
      </c>
    </row>
    <row r="30" spans="1:6" x14ac:dyDescent="0.45">
      <c r="A30" t="s">
        <v>161</v>
      </c>
      <c r="B30" t="s">
        <v>155</v>
      </c>
      <c r="C30" s="21">
        <v>112</v>
      </c>
    </row>
    <row r="31" spans="1:6" x14ac:dyDescent="0.45">
      <c r="A31" t="s">
        <v>161</v>
      </c>
      <c r="B31" t="s">
        <v>155</v>
      </c>
      <c r="C31" s="21">
        <v>148</v>
      </c>
    </row>
    <row r="32" spans="1:6" x14ac:dyDescent="0.45">
      <c r="A32" t="s">
        <v>207</v>
      </c>
      <c r="C32" s="21">
        <f>SUBTOTAL(109,Vendite_per_Cliente[Vendite lorde])</f>
        <v>205100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59EE4-96AE-4212-854A-728D08CF2457}">
  <dimension ref="A1:F14"/>
  <sheetViews>
    <sheetView workbookViewId="0"/>
  </sheetViews>
  <sheetFormatPr defaultRowHeight="14.25" x14ac:dyDescent="0.45"/>
  <cols>
    <col min="1" max="1" width="8.86328125" bestFit="1" customWidth="1"/>
    <col min="2" max="2" width="13.1328125" bestFit="1" customWidth="1"/>
    <col min="3" max="3" width="15.86328125" bestFit="1" customWidth="1"/>
    <col min="4" max="4" width="7" bestFit="1" customWidth="1"/>
    <col min="5" max="5" width="8.86328125" bestFit="1" customWidth="1"/>
    <col min="6" max="6" width="15.59765625" bestFit="1" customWidth="1"/>
  </cols>
  <sheetData>
    <row r="1" spans="1:6" x14ac:dyDescent="0.45">
      <c r="A1" s="51" t="s">
        <v>73</v>
      </c>
      <c r="B1" t="s">
        <v>74</v>
      </c>
      <c r="C1" t="s">
        <v>75</v>
      </c>
      <c r="D1" s="22" t="s">
        <v>77</v>
      </c>
      <c r="E1" t="s">
        <v>76</v>
      </c>
      <c r="F1" t="s">
        <v>162</v>
      </c>
    </row>
    <row r="2" spans="1:6" x14ac:dyDescent="0.45">
      <c r="A2" t="s">
        <v>163</v>
      </c>
      <c r="B2" t="s">
        <v>129</v>
      </c>
      <c r="C2" t="s">
        <v>164</v>
      </c>
      <c r="D2" s="22">
        <v>70121</v>
      </c>
      <c r="E2" t="s">
        <v>165</v>
      </c>
      <c r="F2">
        <v>1</v>
      </c>
    </row>
    <row r="3" spans="1:6" x14ac:dyDescent="0.45">
      <c r="A3" t="s">
        <v>166</v>
      </c>
      <c r="B3" t="s">
        <v>137</v>
      </c>
      <c r="C3" t="s">
        <v>167</v>
      </c>
      <c r="D3" s="22">
        <v>40121</v>
      </c>
      <c r="E3" t="s">
        <v>168</v>
      </c>
      <c r="F3">
        <v>3</v>
      </c>
    </row>
    <row r="4" spans="1:6" x14ac:dyDescent="0.45">
      <c r="A4" t="s">
        <v>169</v>
      </c>
      <c r="B4" t="s">
        <v>170</v>
      </c>
      <c r="C4" t="s">
        <v>171</v>
      </c>
      <c r="D4" s="22">
        <v>9124</v>
      </c>
      <c r="E4" t="s">
        <v>172</v>
      </c>
      <c r="F4">
        <v>4</v>
      </c>
    </row>
    <row r="5" spans="1:6" x14ac:dyDescent="0.45">
      <c r="A5" t="s">
        <v>173</v>
      </c>
      <c r="B5" t="s">
        <v>174</v>
      </c>
      <c r="C5" t="s">
        <v>175</v>
      </c>
      <c r="D5" s="22">
        <v>50123</v>
      </c>
      <c r="E5" t="s">
        <v>176</v>
      </c>
      <c r="F5">
        <v>4</v>
      </c>
    </row>
    <row r="6" spans="1:6" x14ac:dyDescent="0.45">
      <c r="A6" t="s">
        <v>177</v>
      </c>
      <c r="B6" t="s">
        <v>178</v>
      </c>
      <c r="C6" t="s">
        <v>179</v>
      </c>
      <c r="D6" s="22">
        <v>16121</v>
      </c>
      <c r="E6" t="s">
        <v>180</v>
      </c>
      <c r="F6">
        <v>5</v>
      </c>
    </row>
    <row r="7" spans="1:6" x14ac:dyDescent="0.45">
      <c r="A7" t="s">
        <v>181</v>
      </c>
      <c r="B7" t="s">
        <v>182</v>
      </c>
      <c r="C7" t="s">
        <v>183</v>
      </c>
      <c r="D7" s="22">
        <v>20121</v>
      </c>
      <c r="E7" t="s">
        <v>184</v>
      </c>
      <c r="F7">
        <v>2</v>
      </c>
    </row>
    <row r="8" spans="1:6" x14ac:dyDescent="0.45">
      <c r="A8" t="s">
        <v>185</v>
      </c>
      <c r="B8" t="s">
        <v>147</v>
      </c>
      <c r="C8" t="s">
        <v>186</v>
      </c>
      <c r="D8" s="22">
        <v>80133</v>
      </c>
      <c r="E8" t="s">
        <v>187</v>
      </c>
      <c r="F8">
        <v>3</v>
      </c>
    </row>
    <row r="9" spans="1:6" x14ac:dyDescent="0.45">
      <c r="A9" t="s">
        <v>188</v>
      </c>
      <c r="B9" t="s">
        <v>189</v>
      </c>
      <c r="C9" t="s">
        <v>190</v>
      </c>
      <c r="D9" s="22">
        <v>6121</v>
      </c>
      <c r="E9" t="s">
        <v>191</v>
      </c>
      <c r="F9">
        <v>3</v>
      </c>
    </row>
    <row r="10" spans="1:6" x14ac:dyDescent="0.45">
      <c r="A10" t="s">
        <v>192</v>
      </c>
      <c r="B10" t="s">
        <v>141</v>
      </c>
      <c r="C10" t="s">
        <v>193</v>
      </c>
      <c r="D10" s="22">
        <v>145</v>
      </c>
      <c r="E10" t="s">
        <v>194</v>
      </c>
      <c r="F10">
        <v>2</v>
      </c>
    </row>
    <row r="11" spans="1:6" x14ac:dyDescent="0.45">
      <c r="A11" t="s">
        <v>195</v>
      </c>
      <c r="B11" t="s">
        <v>135</v>
      </c>
      <c r="C11" t="s">
        <v>196</v>
      </c>
      <c r="D11" s="22">
        <v>10121</v>
      </c>
      <c r="E11" t="s">
        <v>197</v>
      </c>
      <c r="F11">
        <v>1</v>
      </c>
    </row>
    <row r="12" spans="1:6" x14ac:dyDescent="0.45">
      <c r="A12" t="s">
        <v>195</v>
      </c>
      <c r="B12" t="s">
        <v>135</v>
      </c>
      <c r="C12" t="s">
        <v>196</v>
      </c>
      <c r="D12" s="22">
        <v>10121</v>
      </c>
      <c r="E12" t="s">
        <v>197</v>
      </c>
      <c r="F12">
        <v>5</v>
      </c>
    </row>
    <row r="13" spans="1:6" x14ac:dyDescent="0.45">
      <c r="A13" t="s">
        <v>198</v>
      </c>
      <c r="B13" t="s">
        <v>199</v>
      </c>
      <c r="C13" t="s">
        <v>200</v>
      </c>
      <c r="D13" s="22">
        <v>34121</v>
      </c>
      <c r="E13" t="s">
        <v>201</v>
      </c>
      <c r="F13">
        <v>1</v>
      </c>
    </row>
    <row r="14" spans="1:6" x14ac:dyDescent="0.45">
      <c r="A14" t="s">
        <v>202</v>
      </c>
      <c r="B14" t="s">
        <v>139</v>
      </c>
      <c r="C14" t="s">
        <v>203</v>
      </c>
      <c r="D14" s="22">
        <v>30121</v>
      </c>
      <c r="E14" t="s">
        <v>204</v>
      </c>
      <c r="F14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Articoli_Vendita</vt:lpstr>
      <vt:lpstr>Transazioni_Banca</vt:lpstr>
      <vt:lpstr>Venditori_Premi</vt:lpstr>
      <vt:lpstr>Confronto_Prezzi</vt:lpstr>
      <vt:lpstr>Vendite_Area</vt:lpstr>
      <vt:lpstr>Vendite_Area_2</vt:lpstr>
      <vt:lpstr>Codici_Articoli</vt:lpstr>
      <vt:lpstr>Anagrafica_Dipendenti</vt:lpstr>
      <vt:lpstr>Vendite_Prodotti</vt:lpstr>
      <vt:lpstr>Vendite_Clienti</vt:lpstr>
      <vt:lpstr>Anagrafica_Clienti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pico</dc:creator>
  <cp:lastModifiedBy>cristian pico</cp:lastModifiedBy>
  <dcterms:created xsi:type="dcterms:W3CDTF">2026-05-26T15:51:44Z</dcterms:created>
  <dcterms:modified xsi:type="dcterms:W3CDTF">2026-05-27T07:13:38Z</dcterms:modified>
</cp:coreProperties>
</file>